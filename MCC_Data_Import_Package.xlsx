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b01ce290e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Readme" sheetId="1" r:id="R51b8ffa052684411"/>
    <x:sheet xmlns:r="http://schemas.openxmlformats.org/officeDocument/2006/relationships" name="Locations" sheetId="2" r:id="R32508d29678241f3"/>
    <x:sheet xmlns:r="http://schemas.openxmlformats.org/officeDocument/2006/relationships" name="Assets" sheetId="3" r:id="Rd12da24bf77841e0"/>
    <x:sheet xmlns:r="http://schemas.openxmlformats.org/officeDocument/2006/relationships" name="Maintenance_Plans" sheetId="4" r:id="R827a4c9eccc145a5"/>
    <x:sheet xmlns:r="http://schemas.openxmlformats.org/officeDocument/2006/relationships" name="Plan_Targets" sheetId="5" r:id="R732ece2698eb4f9e"/>
    <x:sheet xmlns:r="http://schemas.openxmlformats.org/officeDocument/2006/relationships" name="Data_Issues" sheetId="6" r:id="R600d8e36a76e4c9d"/>
    <x:sheet xmlns:r="http://schemas.openxmlformats.org/officeDocument/2006/relationships" name="Lists" sheetId="7" r:id="Rf97cb68ebb1d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278dc72444b22" /><Relationship Type="http://schemas.openxmlformats.org/officeDocument/2006/relationships/theme" Target="/xl/theme/theme1.xml" Id="R5b3db52a33184d7d" /><Relationship Type="http://schemas.microsoft.com/office/2022/11/relationships/FeaturePropertyBag" Target="/xl/featurePropertyBag/featurePropertyBag.xml" Id="R1789d208d47843dd" /><Relationship Type="http://schemas.openxmlformats.org/officeDocument/2006/relationships/sharedStrings" Target="/xl/sharedStrings.xml" Id="R49dae761ab7a40cc" /><Relationship Type="http://schemas.openxmlformats.org/officeDocument/2006/relationships/worksheet" Target="/xl/worksheets/sheet1.xml" Id="R51b8ffa052684411" /><Relationship Type="http://schemas.openxmlformats.org/officeDocument/2006/relationships/worksheet" Target="/xl/worksheets/sheet2.xml" Id="R32508d29678241f3" /><Relationship Type="http://schemas.openxmlformats.org/officeDocument/2006/relationships/worksheet" Target="/xl/worksheets/sheet3.xml" Id="Rd12da24bf77841e0" /><Relationship Type="http://schemas.openxmlformats.org/officeDocument/2006/relationships/worksheet" Target="/xl/worksheets/sheet4.xml" Id="R827a4c9eccc145a5" /><Relationship Type="http://schemas.openxmlformats.org/officeDocument/2006/relationships/worksheet" Target="/xl/worksheets/sheet5.xml" Id="R732ece2698eb4f9e" /><Relationship Type="http://schemas.openxmlformats.org/officeDocument/2006/relationships/worksheet" Target="/xl/worksheets/sheet6.xml" Id="R600d8e36a76e4c9d" /><Relationship Type="http://schemas.openxmlformats.org/officeDocument/2006/relationships/worksheet" Target="/xl/worksheets/sheet7.xml" Id="Rf97cb68ebb1d48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ocationsTable" displayName="LocationsTable" ref="A3:G9" headerRowCount="1">
  <x:tableColumns count="7">
    <x:tableColumn id="1" name="location_code"/>
    <x:tableColumn id="2" name="parent_code"/>
    <x:tableColumn id="3" name="node_type"/>
    <x:tableColumn id="4" name="name"/>
    <x:tableColumn id="5" name="description"/>
    <x:tableColumn id="6" name="active"/>
    <x:tableColumn id="7" name="sort_order"/>
  </x:tableColumns>
  <x:tableStyleInfo name="TableStyleMedium2" showRowStripes="1"/>
</x:table>
</file>

<file path=xl/tables/table2.xml><?xml version="1.0" encoding="utf-8"?>
<x:table xmlns:x="http://schemas.openxmlformats.org/spreadsheetml/2006/main" id="2" name="AssetsTable" displayName="AssetsTable" ref="A3:M34" headerRowCount="1">
  <x:tableColumns count="13">
    <x:tableColumn id="1" name="asset_code"/>
    <x:tableColumn id="2" name="asset_name"/>
    <x:tableColumn id="3" name="location_code"/>
    <x:tableColumn id="4" name="department_source"/>
    <x:tableColumn id="5" name="manufacturer"/>
    <x:tableColumn id="6" name="model"/>
    <x:tableColumn id="7" name="serial_number"/>
    <x:tableColumn id="8" name="installation_date"/>
    <x:tableColumn id="9" name="criticality"/>
    <x:tableColumn id="10" name="status"/>
    <x:tableColumn id="11" name="photo_url"/>
    <x:tableColumn id="12" name="active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aintenancePlansTable" displayName="MaintenancePlansTable" ref="A3:S315" headerRowCount="1">
  <x:tableColumns count="19">
    <x:tableColumn id="1" name="plan_code"/>
    <x:tableColumn id="2" name="title"/>
    <x:tableColumn id="3" name="task_description"/>
    <x:tableColumn id="4" name="responsible_type"/>
    <x:tableColumn id="5" name="frequency_value"/>
    <x:tableColumn id="6" name="frequency_unit"/>
    <x:tableColumn id="7" name="planned_duration_minutes"/>
    <x:tableColumn id="8" name="required_skill_code"/>
    <x:tableColumn id="9" name="shutdown_required"/>
    <x:tableColumn id="10" name="criticality"/>
    <x:tableColumn id="11" name="first_due_date"/>
    <x:tableColumn id="12" name="original_anchor_date"/>
    <x:tableColumn id="13" name="instructions"/>
    <x:tableColumn id="14" name="required_parts_text"/>
    <x:tableColumn id="15" name="notes"/>
    <x:tableColumn id="16" name="source_file"/>
    <x:tableColumn id="17" name="source_sheet"/>
    <x:tableColumn id="18" name="source_row"/>
    <x:tableColumn id="19" name="active"/>
  </x:tableColumns>
  <x:tableStyleInfo name="TableStyleMedium2" showRowStripes="1"/>
</x:table>
</file>

<file path=xl/tables/table4.xml><?xml version="1.0" encoding="utf-8"?>
<x:table xmlns:x="http://schemas.openxmlformats.org/spreadsheetml/2006/main" id="4" name="PlanTargetsTable" displayName="PlanTargetsTable" ref="A3:F315" headerRowCount="1">
  <x:tableColumns count="6">
    <x:tableColumn id="1" name="target_code"/>
    <x:tableColumn id="2" name="plan_code"/>
    <x:tableColumn id="3" name="target_type"/>
    <x:tableColumn id="4" name="asset_code"/>
    <x:tableColumn id="5" name="location_code"/>
    <x:tableColumn id="6" name="active"/>
  </x:tableColumns>
  <x:tableStyleInfo name="TableStyleMedium2" showRowStripes="1"/>
</x:table>
</file>

<file path=xl/tables/table5.xml><?xml version="1.0" encoding="utf-8"?>
<x:table xmlns:x="http://schemas.openxmlformats.org/spreadsheetml/2006/main" id="5" name="DataIssuesTable" displayName="DataIssuesTable" ref="A3:H82" headerRowCount="1">
  <x:tableColumns count="8">
    <x:tableColumn id="1" name="issue_id"/>
    <x:tableColumn id="2" name="severity"/>
    <x:tableColumn id="3" name="entity_type"/>
    <x:tableColumn id="4" name="entity_reference"/>
    <x:tableColumn id="5" name="issue"/>
    <x:tableColumn id="6" name="details"/>
    <x:tableColumn id="7" name="recommended_action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b2c796e2d042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4e5b1dc24244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c57be92be0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5bc83928a242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80acd1054c48c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MCC Data Import Package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Package purpose</x:v>
      </x:c>
      <x:c r="B3" s="16" t="str">
        <x:v>Normalized source data for the new standalone MCC Supabase project.</x:v>
      </x:c>
      <x:c r="D3" s="21" t="str">
        <x:v>Source count checks</x:v>
      </x:c>
      <x:c r="E3" s="21" t="str">
        <x:v>Value</x:v>
      </x:c>
    </x:row>
    <x:row r="4">
      <x:c r="A4" s="12" t="str">
        <x:v>Source workbook</x:v>
      </x:c>
      <x:c r="B4" s="16" t="str">
        <x:v>קובץ_שליטה_אחזקה_מונעת_מפעלי_מעודכן.xlsx</x:v>
      </x:c>
      <x:c r="D4" s="16" t="str">
        <x:v>Plans</x:v>
      </x:c>
      <x:c r="E4" s="16" t="n">
        <x:f>COUNTA(Maintenance_Plans!A4:A400)</x:f>
        <x:v>312</x:v>
      </x:c>
    </x:row>
    <x:row r="5">
      <x:c r="A5" s="12" t="str">
        <x:v>Source tasks</x:v>
      </x:c>
      <x:c r="B5" s="16" t="n">
        <x:v>312</x:v>
      </x:c>
      <x:c r="D5" s="16" t="str">
        <x:v>Targets</x:v>
      </x:c>
      <x:c r="E5" s="16" t="n">
        <x:f>COUNTA(Plan_Targets!A4:A400)</x:f>
        <x:v>312</x:v>
      </x:c>
    </x:row>
    <x:row r="6">
      <x:c r="A6" s="12" t="str">
        <x:v>Departments</x:v>
      </x:c>
      <x:c r="B6" s="16" t="n">
        <x:v>5</x:v>
      </x:c>
      <x:c r="D6" s="16" t="str">
        <x:v>Assets</x:v>
      </x:c>
      <x:c r="E6" s="16" t="n">
        <x:f>COUNTA(Assets!A4:A100)</x:f>
        <x:v>31</x:v>
      </x:c>
    </x:row>
    <x:row r="7">
      <x:c r="A7" s="12" t="str">
        <x:v>Assets</x:v>
      </x:c>
      <x:c r="B7" s="16" t="n">
        <x:v>31</x:v>
      </x:c>
      <x:c r="D7" s="16" t="str">
        <x:v>Locations</x:v>
      </x:c>
      <x:c r="E7" s="16" t="n">
        <x:f>COUNTA(Locations!A4:A100)</x:f>
        <x:v>6</x:v>
      </x:c>
    </x:row>
    <x:row r="8">
      <x:c r="A8" s="12" t="str">
        <x:v>Maintenance-owned plans</x:v>
      </x:c>
      <x:c r="B8" s="16" t="n">
        <x:v>228</x:v>
      </x:c>
      <x:c r="D8" s="16" t="str">
        <x:v>Open Issues</x:v>
      </x:c>
      <x:c r="E8" s="16" t="n">
        <x:f>COUNTIF(Data_Issues!H4:H500,"Open")</x:f>
        <x:v>79</x:v>
      </x:c>
    </x:row>
    <x:row r="9">
      <x:c r="A9" s="12" t="str">
        <x:v>Operator monitoring plans</x:v>
      </x:c>
      <x:c r="B9" s="16" t="n">
        <x:v>84</x:v>
      </x:c>
      <x:c r="D9" s="16" t="str">
        <x:v>Missing durations</x:v>
      </x:c>
      <x:c r="E9" s="16" t="n">
        <x:f>COUNTIF(Data_Issues!E4:E500,"Missing planned duration")</x:f>
        <x:v>44</x:v>
      </x:c>
    </x:row>
    <x:row r="10">
      <x:c r="A10" s="12" t="str">
        <x:v>Rows with missing duration</x:v>
      </x:c>
      <x:c r="B10" s="16" t="n">
        <x:v>44</x:v>
      </x:c>
      <x:c r="D10" s="16" t="str">
        <x:v>Duplicate groups</x:v>
      </x:c>
      <x:c r="E10" s="16" t="n">
        <x:f>COUNTIF(Data_Issues!E4:E500,"Potential exact duplicate")</x:f>
        <x:v>1</x:v>
      </x:c>
    </x:row>
    <x:row r="11">
      <x:c r="A11" s="12" t="str">
        <x:v>Exact duplicate groups</x:v>
      </x:c>
      <x:c r="B11" s="16" t="n">
        <x:v>1</x:v>
      </x:c>
    </x:row>
    <x:row r="12">
      <x:c r="A12" s="12" t="str">
        <x:v>Supabase status</x:v>
      </x:c>
      <x:c r="B12" s="16" t="str">
        <x:v>Do not import yet — review Data_Issues first.</x:v>
      </x:c>
    </x:row>
    <x:row r="13">
      <x:c r="A13" s="12" t="str">
        <x:v>Approved recurrence rule</x:v>
      </x:c>
      <x:c r="B13" s="16" t="str">
        <x:v>Next due date is anchored to the original schedule.</x:v>
      </x:c>
    </x:row>
    <x:row r="15">
      <x:c r="A15" s="21" t="str">
        <x:v>Import order</x:v>
      </x:c>
      <x:c r="B15" s="21" t="str">
        <x:v>1. Locations</x:v>
      </x:c>
      <x:c r="C15" s="21" t="str">
        <x:v>2. Assets</x:v>
      </x:c>
      <x:c r="D15" s="21" t="str">
        <x:v>3. Maintenance_Plans</x:v>
      </x:c>
      <x:c r="E15" s="21" t="str">
        <x:v>4. Plan_Targets</x:v>
      </x:c>
      <x:c r="F15" s="21" t="str">
        <x:v>5. Review issues</x:v>
      </x:c>
      <x:c r="G15" s="21" t="str">
        <x:v>6. Create Supabase</x:v>
      </x:c>
      <x:c r="H15" s="21" t="str">
        <x:v>7. Import</x:v>
      </x:c>
    </x:row>
    <x:row r="17">
      <x:c r="A17" s="28" t="str">
        <x:v>Important</x:v>
      </x:c>
      <x:c r="B17" s="31" t="str">
        <x:v>The source contains 312 plan rows, 31 assets and five departments.</x:v>
      </x:c>
      <x:c r="C17" s="31"/>
      <x:c r="D17" s="31"/>
      <x:c r="E17" s="31"/>
      <x:c r="F17" s="31"/>
      <x:c r="G17" s="31"/>
      <x:c r="H17" s="31"/>
    </x:row>
    <x:row r="18">
      <x:c r="A18" s="28" t="str">
        <x:v>Important</x:v>
      </x:c>
      <x:c r="B18" s="31" t="str">
        <x:v>A separate work order will be generated for every plan target.</x:v>
      </x:c>
      <x:c r="C18" s="31"/>
      <x:c r="D18" s="31"/>
      <x:c r="E18" s="31"/>
      <x:c r="F18" s="31"/>
      <x:c r="G18" s="31"/>
      <x:c r="H18" s="31"/>
    </x:row>
    <x:row r="19">
      <x:c r="A19" s="28" t="str">
        <x:v>Important</x:v>
      </x:c>
      <x:c r="B19" s="31" t="str">
        <x:v>Operator tasks remain monitoring records and do not consume technician capacity.</x:v>
      </x:c>
      <x:c r="C19" s="31"/>
      <x:c r="D19" s="31"/>
      <x:c r="E19" s="31"/>
      <x:c r="F19" s="31"/>
      <x:c r="G19" s="31"/>
      <x:c r="H19" s="31"/>
    </x:row>
    <x:row r="20">
      <x:c r="A20" s="28" t="str">
        <x:v>Review</x:v>
      </x:c>
      <x:c r="B20" s="31" t="str">
        <x:v>First due dates, criticality and shutdown requirements are not supported by the source workbook.</x:v>
      </x:c>
      <x:c r="C20" s="31"/>
      <x:c r="D20" s="31"/>
      <x:c r="E20" s="31"/>
      <x:c r="F20" s="31"/>
      <x:c r="G20" s="31"/>
      <x:c r="H20" s="31"/>
    </x:row>
    <x:row r="21">
      <x:c r="A21" s="28" t="str">
        <x:v>Review</x:v>
      </x:c>
      <x:c r="B21" s="31" t="str">
        <x:v>44 source rows have no numeric treatment duration.</x:v>
      </x:c>
      <x:c r="C21" s="31"/>
      <x:c r="D21" s="31"/>
      <x:c r="E21" s="31"/>
      <x:c r="F21" s="31"/>
      <x:c r="G21" s="31"/>
      <x:c r="H21" s="3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0" hidden="0" customWidth="1"/>
    <x:col min="5" max="5" width="30" hidden="0" customWidth="1"/>
    <x:col min="6" max="6" width="19" hidden="0" customWidth="1"/>
    <x:col min="7" max="7" width="19" hidden="0" customWidth="1"/>
  </x:cols>
  <x:sheetData>
    <x:row r="1" ht="28" customHeight="1">
      <x:c r="A1" s="45" t="str">
        <x:v>Factory Hierarchy</x:v>
      </x:c>
      <x:c r="B1" s="45"/>
      <x:c r="C1" s="45"/>
      <x:c r="D1" s="45"/>
      <x:c r="E1" s="45"/>
      <x:c r="F1" s="45"/>
      <x:c r="G1" s="45"/>
    </x:row>
    <x:row r="2">
      <x:c r="A2" s="46"/>
      <x:c r="B2" s="46"/>
      <x:c r="C2" s="46"/>
      <x:c r="D2" s="46"/>
      <x:c r="E2" s="46"/>
      <x:c r="F2" s="46"/>
      <x:c r="G2" s="46"/>
    </x:row>
    <x:row r="3" ht="32" customHeight="1">
      <x:c r="A3" s="39" t="str">
        <x:v>location_code</x:v>
      </x:c>
      <x:c r="B3" s="39" t="str">
        <x:v>parent_code</x:v>
      </x:c>
      <x:c r="C3" s="39" t="str">
        <x:v>node_type</x:v>
      </x:c>
      <x:c r="D3" s="39" t="str">
        <x:v>name</x:v>
      </x:c>
      <x:c r="E3" s="39" t="str">
        <x:v>description</x:v>
      </x:c>
      <x:c r="F3" s="39" t="str">
        <x:v>active</x:v>
      </x:c>
      <x:c r="G3" s="39" t="str">
        <x:v>sort_order</x:v>
      </x:c>
    </x:row>
    <x:row r="4">
      <x:c r="A4" s="46" t="str">
        <x:v>FAC-001</x:v>
      </x:c>
      <x:c r="B4" s="46" t="str"/>
      <x:c r="C4" s="46" t="str">
        <x:v>factory</x:v>
      </x:c>
      <x:c r="D4" s="46" t="str">
        <x:v>Chromagen Israel Plant</x:v>
      </x:c>
      <x:c r="E4" s="46" t="str"/>
      <x:c r="F4" s="47" t="b">
        <x:v>1</x:v>
      </x:c>
      <x:c r="G4" s="46" t="n">
        <x:v>0</x:v>
      </x:c>
    </x:row>
    <x:row r="5">
      <x:c r="A5" s="46" t="str">
        <x:v>DEPT-001</x:v>
      </x:c>
      <x:c r="B5" s="46" t="str">
        <x:v>FAC-001</x:v>
      </x:c>
      <x:c r="C5" s="46" t="str">
        <x:v>department</x:v>
      </x:c>
      <x:c r="D5" s="46" t="str">
        <x:v>בונדר</x:v>
      </x:c>
      <x:c r="E5" s="46" t="str">
        <x:v>Imported from preventive-maintenance master</x:v>
      </x:c>
      <x:c r="F5" s="47" t="b">
        <x:v>1</x:v>
      </x:c>
      <x:c r="G5" s="46" t="n">
        <x:v>1</x:v>
      </x:c>
    </x:row>
    <x:row r="6">
      <x:c r="A6" s="46" t="str">
        <x:v>DEPT-002</x:v>
      </x:c>
      <x:c r="B6" s="46" t="str">
        <x:v>FAC-001</x:v>
      </x:c>
      <x:c r="C6" s="46" t="str">
        <x:v>department</x:v>
      </x:c>
      <x:c r="D6" s="46" t="str">
        <x:v>כבישה</x:v>
      </x:c>
      <x:c r="E6" s="46" t="str">
        <x:v>Imported from preventive-maintenance master</x:v>
      </x:c>
      <x:c r="F6" s="47" t="b">
        <x:v>1</x:v>
      </x:c>
      <x:c r="G6" s="46" t="n">
        <x:v>2</x:v>
      </x:c>
    </x:row>
    <x:row r="7">
      <x:c r="A7" s="46" t="str">
        <x:v>DEPT-003</x:v>
      </x:c>
      <x:c r="B7" s="46" t="str">
        <x:v>FAC-001</x:v>
      </x:c>
      <x:c r="C7" s="46" t="str">
        <x:v>department</x:v>
      </x:c>
      <x:c r="D7" s="46" t="str">
        <x:v>מחלקת עטיפות</x:v>
      </x:c>
      <x:c r="E7" s="46" t="str">
        <x:v>Imported from preventive-maintenance master</x:v>
      </x:c>
      <x:c r="F7" s="47" t="b">
        <x:v>1</x:v>
      </x:c>
      <x:c r="G7" s="46" t="n">
        <x:v>3</x:v>
      </x:c>
    </x:row>
    <x:row r="8">
      <x:c r="A8" s="46" t="str">
        <x:v>DEPT-004</x:v>
      </x:c>
      <x:c r="B8" s="46" t="str">
        <x:v>FAC-001</x:v>
      </x:c>
      <x:c r="C8" s="46" t="str">
        <x:v>department</x:v>
      </x:c>
      <x:c r="D8" s="46" t="str">
        <x:v>מילוי ויבוש אימייל</x:v>
      </x:c>
      <x:c r="E8" s="46" t="str">
        <x:v>Imported from preventive-maintenance master</x:v>
      </x:c>
      <x:c r="F8" s="47" t="b">
        <x:v>1</x:v>
      </x:c>
      <x:c r="G8" s="46" t="n">
        <x:v>4</x:v>
      </x:c>
    </x:row>
    <x:row r="9">
      <x:c r="A9" s="46" t="str">
        <x:v>DEPT-005</x:v>
      </x:c>
      <x:c r="B9" s="46" t="str">
        <x:v>FAC-001</x:v>
      </x:c>
      <x:c r="C9" s="46" t="str">
        <x:v>department</x:v>
      </x:c>
      <x:c r="D9" s="46" t="str">
        <x:v>מערכת שרפת אימייל</x:v>
      </x:c>
      <x:c r="E9" s="46" t="str">
        <x:v>Imported from preventive-maintenance master</x:v>
      </x:c>
      <x:c r="F9" s="47" t="b">
        <x:v>1</x:v>
      </x:c>
      <x:c r="G9" s="46" t="n">
        <x:v>5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2b2c796e2d042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2" hidden="0" customWidth="1"/>
  </x:cols>
  <x:sheetData>
    <x:row r="1" ht="28" customHeight="1">
      <x:c r="A1" s="45" t="str">
        <x:v>Asset Master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3" ht="32" customHeight="1">
      <x:c r="A3" s="39" t="str">
        <x:v>asset_code</x:v>
      </x:c>
      <x:c r="B3" s="39" t="str">
        <x:v>asset_name</x:v>
      </x:c>
      <x:c r="C3" s="39" t="str">
        <x:v>location_code</x:v>
      </x:c>
      <x:c r="D3" s="39" t="str">
        <x:v>department_source</x:v>
      </x:c>
      <x:c r="E3" s="39" t="str">
        <x:v>manufacturer</x:v>
      </x:c>
      <x:c r="F3" s="39" t="str">
        <x:v>model</x:v>
      </x:c>
      <x:c r="G3" s="39" t="str">
        <x:v>serial_number</x:v>
      </x:c>
      <x:c r="H3" s="39" t="str">
        <x:v>installation_date</x:v>
      </x:c>
      <x:c r="I3" s="39" t="str">
        <x:v>criticality</x:v>
      </x:c>
      <x:c r="J3" s="39" t="str">
        <x:v>status</x:v>
      </x:c>
      <x:c r="K3" s="39" t="str">
        <x:v>photo_url</x:v>
      </x:c>
      <x:c r="L3" s="39" t="str">
        <x:v>active</x:v>
      </x:c>
      <x:c r="M3" s="39" t="str">
        <x:v>notes</x:v>
      </x:c>
    </x:row>
    <x:row r="4">
      <x:c r="A4" s="46" t="str">
        <x:v>AST-0001</x:v>
      </x:c>
      <x:c r="B4" s="46" t="str">
        <x:v>אמבטיה יבוש (11)</x:v>
      </x:c>
      <x:c r="C4" s="46" t="str">
        <x:v>DEPT-001</x:v>
      </x:c>
      <x:c r="D4" s="46" t="str">
        <x:v>בונדר</x:v>
      </x:c>
      <x:c r="E4" s="46" t="str"/>
      <x:c r="F4" s="46" t="str"/>
      <x:c r="G4" s="46" t="str"/>
      <x:c r="H4" s="53" t="str"/>
      <x:c r="I4" s="46" t="str">
        <x:v>medium</x:v>
      </x:c>
      <x:c r="J4" s="46" t="str">
        <x:v>running</x:v>
      </x:c>
      <x:c r="K4" s="46" t="str"/>
      <x:c r="L4" s="47" t="b">
        <x:v>1</x:v>
      </x:c>
      <x:c r="M4" s="46" t="str">
        <x:v>Imported from source sheets under department בונדר</x:v>
      </x:c>
    </x:row>
    <x:row r="5">
      <x:c r="A5" s="46" t="str">
        <x:v>AST-0002</x:v>
      </x:c>
      <x:c r="B5" s="46" t="str">
        <x:v>אמבטיות בסיס/סבון (1,2,3,10)</x:v>
      </x:c>
      <x:c r="C5" s="46" t="str">
        <x:v>DEPT-001</x:v>
      </x:c>
      <x:c r="D5" s="46" t="str">
        <x:v>בונדר</x:v>
      </x:c>
      <x:c r="E5" s="46" t="str"/>
      <x:c r="F5" s="46" t="str"/>
      <x:c r="G5" s="46" t="str"/>
      <x:c r="H5" s="53" t="str"/>
      <x:c r="I5" s="46" t="str">
        <x:v>medium</x:v>
      </x:c>
      <x:c r="J5" s="46" t="str">
        <x:v>running</x:v>
      </x:c>
      <x:c r="K5" s="46" t="str"/>
      <x:c r="L5" s="47" t="b">
        <x:v>1</x:v>
      </x:c>
      <x:c r="M5" s="46" t="str">
        <x:v>Imported from source sheets under department בונדר</x:v>
      </x:c>
    </x:row>
    <x:row r="6">
      <x:c r="A6" s="46" t="str">
        <x:v>AST-0003</x:v>
      </x:c>
      <x:c r="B6" s="46" t="str">
        <x:v>אמבטיות חומצה (6,7)</x:v>
      </x:c>
      <x:c r="C6" s="46" t="str">
        <x:v>DEPT-001</x:v>
      </x:c>
      <x:c r="D6" s="46" t="str">
        <x:v>בונדר</x:v>
      </x:c>
      <x:c r="E6" s="46" t="str"/>
      <x:c r="F6" s="46" t="str"/>
      <x:c r="G6" s="46" t="str"/>
      <x:c r="H6" s="53" t="str"/>
      <x:c r="I6" s="46" t="str">
        <x:v>medium</x:v>
      </x:c>
      <x:c r="J6" s="46" t="str">
        <x:v>running</x:v>
      </x:c>
      <x:c r="K6" s="46" t="str"/>
      <x:c r="L6" s="47" t="b">
        <x:v>1</x:v>
      </x:c>
      <x:c r="M6" s="46" t="str">
        <x:v>Imported from source sheets under department בונדר</x:v>
      </x:c>
    </x:row>
    <x:row r="7">
      <x:c r="A7" s="46" t="str">
        <x:v>AST-0004</x:v>
      </x:c>
      <x:c r="B7" s="46" t="str">
        <x:v>אמבטיות מים (4,5,8,9)</x:v>
      </x:c>
      <x:c r="C7" s="46" t="str">
        <x:v>DEPT-001</x:v>
      </x:c>
      <x:c r="D7" s="46" t="str">
        <x:v>בונדר</x:v>
      </x:c>
      <x:c r="E7" s="46" t="str"/>
      <x:c r="F7" s="46" t="str"/>
      <x:c r="G7" s="46" t="str"/>
      <x:c r="H7" s="53" t="str"/>
      <x:c r="I7" s="46" t="str">
        <x:v>medium</x:v>
      </x:c>
      <x:c r="J7" s="46" t="str">
        <x:v>running</x:v>
      </x:c>
      <x:c r="K7" s="46" t="str"/>
      <x:c r="L7" s="47" t="b">
        <x:v>1</x:v>
      </x:c>
      <x:c r="M7" s="46" t="str">
        <x:v>Imported from source sheets under department בונדר</x:v>
      </x:c>
    </x:row>
    <x:row r="8">
      <x:c r="A8" s="46" t="str">
        <x:v>AST-0005</x:v>
      </x:c>
      <x:c r="B8" s="46" t="str">
        <x:v>מניפולטורים</x:v>
      </x:c>
      <x:c r="C8" s="46" t="str">
        <x:v>DEPT-001</x:v>
      </x:c>
      <x:c r="D8" s="46" t="str">
        <x:v>בונדר</x:v>
      </x:c>
      <x:c r="E8" s="46" t="str"/>
      <x:c r="F8" s="46" t="str"/>
      <x:c r="G8" s="46" t="str"/>
      <x:c r="H8" s="53" t="str"/>
      <x:c r="I8" s="46" t="str">
        <x:v>medium</x:v>
      </x:c>
      <x:c r="J8" s="46" t="str">
        <x:v>running</x:v>
      </x:c>
      <x:c r="K8" s="46" t="str"/>
      <x:c r="L8" s="47" t="b">
        <x:v>1</x:v>
      </x:c>
      <x:c r="M8" s="46" t="str">
        <x:v>Imported from source sheets under department בונדר</x:v>
      </x:c>
    </x:row>
    <x:row r="9">
      <x:c r="A9" s="46" t="str">
        <x:v>AST-0006</x:v>
      </x:c>
      <x:c r="B9" s="46" t="str">
        <x:v>מסוע יציאה גלילי</x:v>
      </x:c>
      <x:c r="C9" s="46" t="str">
        <x:v>DEPT-001</x:v>
      </x:c>
      <x:c r="D9" s="46" t="str">
        <x:v>בונדר</x:v>
      </x:c>
      <x:c r="E9" s="46" t="str"/>
      <x:c r="F9" s="46" t="str"/>
      <x:c r="G9" s="46" t="str"/>
      <x:c r="H9" s="53" t="str"/>
      <x:c r="I9" s="46" t="str">
        <x:v>medium</x:v>
      </x:c>
      <x:c r="J9" s="46" t="str">
        <x:v>running</x:v>
      </x:c>
      <x:c r="K9" s="46" t="str"/>
      <x:c r="L9" s="47" t="b">
        <x:v>1</x:v>
      </x:c>
      <x:c r="M9" s="46" t="str">
        <x:v>Imported from source sheets under department בונדר</x:v>
      </x:c>
    </x:row>
    <x:row r="10">
      <x:c r="A10" s="46" t="str">
        <x:v>AST-0007</x:v>
      </x:c>
      <x:c r="B10" s="46" t="str">
        <x:v>מסוע כניסה גלילי</x:v>
      </x:c>
      <x:c r="C10" s="46" t="str">
        <x:v>DEPT-001</x:v>
      </x:c>
      <x:c r="D10" s="46" t="str">
        <x:v>בונדר</x:v>
      </x:c>
      <x:c r="E10" s="46" t="str"/>
      <x:c r="F10" s="46" t="str"/>
      <x:c r="G10" s="46" t="str"/>
      <x:c r="H10" s="53" t="str"/>
      <x:c r="I10" s="46" t="str">
        <x:v>medium</x:v>
      </x:c>
      <x:c r="J10" s="46" t="str">
        <x:v>running</x:v>
      </x:c>
      <x:c r="K10" s="46" t="str"/>
      <x:c r="L10" s="47" t="b">
        <x:v>1</x:v>
      </x:c>
      <x:c r="M10" s="46" t="str">
        <x:v>Imported from source sheets under department בונדר</x:v>
      </x:c>
    </x:row>
    <x:row r="11">
      <x:c r="A11" s="46" t="str">
        <x:v>AST-0008</x:v>
      </x:c>
      <x:c r="B11" s="46" t="str">
        <x:v>של כל האמבטיות</x:v>
      </x:c>
      <x:c r="C11" s="46" t="str">
        <x:v>DEPT-001</x:v>
      </x:c>
      <x:c r="D11" s="46" t="str">
        <x:v>בונדר</x:v>
      </x:c>
      <x:c r="E11" s="46" t="str"/>
      <x:c r="F11" s="46" t="str"/>
      <x:c r="G11" s="46" t="str"/>
      <x:c r="H11" s="53" t="str"/>
      <x:c r="I11" s="46" t="str">
        <x:v>medium</x:v>
      </x:c>
      <x:c r="J11" s="46" t="str">
        <x:v>running</x:v>
      </x:c>
      <x:c r="K11" s="46" t="str"/>
      <x:c r="L11" s="47" t="b">
        <x:v>1</x:v>
      </x:c>
      <x:c r="M11" s="46" t="str">
        <x:v>Imported from source sheets under department בונדר</x:v>
      </x:c>
    </x:row>
    <x:row r="12">
      <x:c r="A12" s="46" t="str">
        <x:v>AST-0009</x:v>
      </x:c>
      <x:c r="B12" s="46" t="str">
        <x:v>OVERLAP</x:v>
      </x:c>
      <x:c r="C12" s="46" t="str">
        <x:v>DEPT-002</x:v>
      </x:c>
      <x:c r="D12" s="46" t="str">
        <x:v>כבישה</x:v>
      </x:c>
      <x:c r="E12" s="46" t="str"/>
      <x:c r="F12" s="46" t="str"/>
      <x:c r="G12" s="46" t="str"/>
      <x:c r="H12" s="53" t="str"/>
      <x:c r="I12" s="46" t="str">
        <x:v>medium</x:v>
      </x:c>
      <x:c r="J12" s="46" t="str">
        <x:v>running</x:v>
      </x:c>
      <x:c r="K12" s="46" t="str"/>
      <x:c r="L12" s="47" t="b">
        <x:v>1</x:v>
      </x:c>
      <x:c r="M12" s="46" t="str">
        <x:v>Imported from source sheets under department כבישה</x:v>
      </x:c>
    </x:row>
    <x:row r="13">
      <x:c r="A13" s="46" t="str">
        <x:v>AST-0010</x:v>
      </x:c>
      <x:c r="B13" s="46" t="str">
        <x:v>מכבש אקצנטרי 250 טון</x:v>
      </x:c>
      <x:c r="C13" s="46" t="str">
        <x:v>DEPT-002</x:v>
      </x:c>
      <x:c r="D13" s="46" t="str">
        <x:v>כבישה</x:v>
      </x:c>
      <x:c r="E13" s="46" t="str"/>
      <x:c r="F13" s="46" t="str"/>
      <x:c r="G13" s="46" t="str"/>
      <x:c r="H13" s="53" t="str"/>
      <x:c r="I13" s="46" t="str">
        <x:v>medium</x:v>
      </x:c>
      <x:c r="J13" s="46" t="str">
        <x:v>running</x:v>
      </x:c>
      <x:c r="K13" s="46" t="str"/>
      <x:c r="L13" s="47" t="b">
        <x:v>1</x:v>
      </x:c>
      <x:c r="M13" s="46" t="str">
        <x:v>Imported from source sheets under department כבישה</x:v>
      </x:c>
    </x:row>
    <x:row r="14">
      <x:c r="A14" s="46" t="str">
        <x:v>AST-0011</x:v>
      </x:c>
      <x:c r="B14" s="46" t="str">
        <x:v>מכבש הידראולי 500 טון</x:v>
      </x:c>
      <x:c r="C14" s="46" t="str">
        <x:v>DEPT-002</x:v>
      </x:c>
      <x:c r="D14" s="46" t="str">
        <x:v>כבישה</x:v>
      </x:c>
      <x:c r="E14" s="46" t="str"/>
      <x:c r="F14" s="46" t="str"/>
      <x:c r="G14" s="46" t="str"/>
      <x:c r="H14" s="53" t="str"/>
      <x:c r="I14" s="46" t="str">
        <x:v>medium</x:v>
      </x:c>
      <x:c r="J14" s="46" t="str">
        <x:v>running</x:v>
      </x:c>
      <x:c r="K14" s="46" t="str"/>
      <x:c r="L14" s="47" t="b">
        <x:v>1</x:v>
      </x:c>
      <x:c r="M14" s="46" t="str">
        <x:v>Imported from source sheets under department כבישה</x:v>
      </x:c>
    </x:row>
    <x:row r="15">
      <x:c r="A15" s="46" t="str">
        <x:v>AST-0012</x:v>
      </x:c>
      <x:c r="B15" s="46" t="str">
        <x:v>מספריים לחיתוך דיסקה</x:v>
      </x:c>
      <x:c r="C15" s="46" t="str">
        <x:v>DEPT-002</x:v>
      </x:c>
      <x:c r="D15" s="46" t="str">
        <x:v>כבישה</x:v>
      </x:c>
      <x:c r="E15" s="46" t="str"/>
      <x:c r="F15" s="46" t="str"/>
      <x:c r="G15" s="46" t="str"/>
      <x:c r="H15" s="53" t="str"/>
      <x:c r="I15" s="46" t="str">
        <x:v>medium</x:v>
      </x:c>
      <x:c r="J15" s="46" t="str">
        <x:v>running</x:v>
      </x:c>
      <x:c r="K15" s="46" t="str"/>
      <x:c r="L15" s="47" t="b">
        <x:v>1</x:v>
      </x:c>
      <x:c r="M15" s="46" t="str">
        <x:v>Imported from source sheets under department כבישה</x:v>
      </x:c>
    </x:row>
    <x:row r="16">
      <x:c r="A16" s="46" t="str">
        <x:v>AST-0013</x:v>
      </x:c>
      <x:c r="B16" s="46" t="str">
        <x:v>6 מכונות ניקוב</x:v>
      </x:c>
      <x:c r="C16" s="46" t="str">
        <x:v>DEPT-003</x:v>
      </x:c>
      <x:c r="D16" s="46" t="str">
        <x:v>מחלקת עטיפות</x:v>
      </x:c>
      <x:c r="E16" s="46" t="str"/>
      <x:c r="F16" s="46" t="str"/>
      <x:c r="G16" s="46" t="str"/>
      <x:c r="H16" s="53" t="str"/>
      <x:c r="I16" s="46" t="str">
        <x:v>medium</x:v>
      </x:c>
      <x:c r="J16" s="46" t="str">
        <x:v>running</x:v>
      </x:c>
      <x:c r="K16" s="46" t="str"/>
      <x:c r="L16" s="47" t="b">
        <x:v>1</x:v>
      </x:c>
      <x:c r="M16" s="46" t="str">
        <x:v>Imported from source sheets under department מחלקת עטיפות</x:v>
      </x:c>
    </x:row>
    <x:row r="17">
      <x:c r="A17" s="46" t="str">
        <x:v>AST-0014</x:v>
      </x:c>
      <x:c r="B17" s="46" t="str">
        <x:v>בונדר עטיפות</x:v>
      </x:c>
      <x:c r="C17" s="46" t="str">
        <x:v>DEPT-003</x:v>
      </x:c>
      <x:c r="D17" s="46" t="str">
        <x:v>מחלקת עטיפות</x:v>
      </x:c>
      <x:c r="E17" s="46" t="str"/>
      <x:c r="F17" s="46" t="str"/>
      <x:c r="G17" s="46" t="str"/>
      <x:c r="H17" s="53" t="str"/>
      <x:c r="I17" s="46" t="str">
        <x:v>medium</x:v>
      </x:c>
      <x:c r="J17" s="46" t="str">
        <x:v>running</x:v>
      </x:c>
      <x:c r="K17" s="46" t="str"/>
      <x:c r="L17" s="47" t="b">
        <x:v>1</x:v>
      </x:c>
      <x:c r="M17" s="46" t="str">
        <x:v>Imported from source sheets under department מחלקת עטיפות</x:v>
      </x:c>
    </x:row>
    <x:row r="18">
      <x:c r="A18" s="46" t="str">
        <x:v>AST-0015</x:v>
      </x:c>
      <x:c r="B18" s="46" t="str">
        <x:v>מכונת סגירת מכסה</x:v>
      </x:c>
      <x:c r="C18" s="46" t="str">
        <x:v>DEPT-003</x:v>
      </x:c>
      <x:c r="D18" s="46" t="str">
        <x:v>מחלקת עטיפות</x:v>
      </x:c>
      <x:c r="E18" s="46" t="str"/>
      <x:c r="F18" s="46" t="str"/>
      <x:c r="G18" s="46" t="str"/>
      <x:c r="H18" s="53" t="str"/>
      <x:c r="I18" s="46" t="str">
        <x:v>medium</x:v>
      </x:c>
      <x:c r="J18" s="46" t="str">
        <x:v>running</x:v>
      </x:c>
      <x:c r="K18" s="46" t="str"/>
      <x:c r="L18" s="47" t="b">
        <x:v>1</x:v>
      </x:c>
      <x:c r="M18" s="46" t="str">
        <x:v>Imported from source sheets under department מחלקת עטיפות</x:v>
      </x:c>
    </x:row>
    <x:row r="19">
      <x:c r="A19" s="46" t="str">
        <x:v>AST-0016</x:v>
      </x:c>
      <x:c r="B19" s="46" t="str">
        <x:v>מכונת עף מים</x:v>
      </x:c>
      <x:c r="C19" s="46" t="str">
        <x:v>DEPT-003</x:v>
      </x:c>
      <x:c r="D19" s="46" t="str">
        <x:v>מחלקת עטיפות</x:v>
      </x:c>
      <x:c r="E19" s="46" t="str"/>
      <x:c r="F19" s="46" t="str"/>
      <x:c r="G19" s="46" t="str"/>
      <x:c r="H19" s="53" t="str"/>
      <x:c r="I19" s="46" t="str">
        <x:v>medium</x:v>
      </x:c>
      <x:c r="J19" s="46" t="str">
        <x:v>running</x:v>
      </x:c>
      <x:c r="K19" s="46" t="str"/>
      <x:c r="L19" s="47" t="b">
        <x:v>1</x:v>
      </x:c>
      <x:c r="M19" s="46" t="str">
        <x:v>Imported from source sheets under department מחלקת עטיפות</x:v>
      </x:c>
    </x:row>
    <x:row r="20">
      <x:c r="A20" s="46" t="str">
        <x:v>AST-0017</x:v>
      </x:c>
      <x:c r="B20" s="46" t="str">
        <x:v>מכות JI-GA</x:v>
      </x:c>
      <x:c r="C20" s="46" t="str">
        <x:v>DEPT-003</x:v>
      </x:c>
      <x:c r="D20" s="46" t="str">
        <x:v>מחלקת עטיפות</x:v>
      </x:c>
      <x:c r="E20" s="46" t="str"/>
      <x:c r="F20" s="46" t="str"/>
      <x:c r="G20" s="46" t="str"/>
      <x:c r="H20" s="53" t="str"/>
      <x:c r="I20" s="46" t="str">
        <x:v>medium</x:v>
      </x:c>
      <x:c r="J20" s="46" t="str">
        <x:v>running</x:v>
      </x:c>
      <x:c r="K20" s="46" t="str"/>
      <x:c r="L20" s="47" t="b">
        <x:v>1</x:v>
      </x:c>
      <x:c r="M20" s="46" t="str">
        <x:v>Imported from source sheets under department מחלקת עטיפות</x:v>
      </x:c>
    </x:row>
    <x:row r="21">
      <x:c r="A21" s="46" t="str">
        <x:v>AST-0018</x:v>
      </x:c>
      <x:c r="B21" s="46" t="str">
        <x:v>מכות קלינצ'ינג</x:v>
      </x:c>
      <x:c r="C21" s="46" t="str">
        <x:v>DEPT-003</x:v>
      </x:c>
      <x:c r="D21" s="46" t="str">
        <x:v>מחלקת עטיפות</x:v>
      </x:c>
      <x:c r="E21" s="46" t="str"/>
      <x:c r="F21" s="46" t="str"/>
      <x:c r="G21" s="46" t="str"/>
      <x:c r="H21" s="53" t="str"/>
      <x:c r="I21" s="46" t="str">
        <x:v>medium</x:v>
      </x:c>
      <x:c r="J21" s="46" t="str">
        <x:v>running</x:v>
      </x:c>
      <x:c r="K21" s="46" t="str"/>
      <x:c r="L21" s="47" t="b">
        <x:v>1</x:v>
      </x:c>
      <x:c r="M21" s="46" t="str">
        <x:v>Imported from source sheets under department מחלקת עטיפות</x:v>
      </x:c>
    </x:row>
    <x:row r="22">
      <x:c r="A22" s="46" t="str">
        <x:v>AST-0019</x:v>
      </x:c>
      <x:c r="B22" s="46" t="str">
        <x:v>מסוע עילי עטיפות</x:v>
      </x:c>
      <x:c r="C22" s="46" t="str">
        <x:v>DEPT-003</x:v>
      </x:c>
      <x:c r="D22" s="46" t="str">
        <x:v>מחלקת עטיפות</x:v>
      </x:c>
      <x:c r="E22" s="46" t="str"/>
      <x:c r="F22" s="46" t="str"/>
      <x:c r="G22" s="46" t="str"/>
      <x:c r="H22" s="53" t="str"/>
      <x:c r="I22" s="46" t="str">
        <x:v>medium</x:v>
      </x:c>
      <x:c r="J22" s="46" t="str">
        <x:v>running</x:v>
      </x:c>
      <x:c r="K22" s="46" t="str"/>
      <x:c r="L22" s="47" t="b">
        <x:v>1</x:v>
      </x:c>
      <x:c r="M22" s="46" t="str">
        <x:v>Imported from source sheets under department מחלקת עטיפות</x:v>
      </x:c>
    </x:row>
    <x:row r="23">
      <x:c r="A23" s="46" t="str">
        <x:v>AST-0020</x:v>
      </x:c>
      <x:c r="B23" s="46" t="str">
        <x:v>מערגלת</x:v>
      </x:c>
      <x:c r="C23" s="46" t="str">
        <x:v>DEPT-003</x:v>
      </x:c>
      <x:c r="D23" s="46" t="str">
        <x:v>מחלקת עטיפות</x:v>
      </x:c>
      <x:c r="E23" s="46" t="str"/>
      <x:c r="F23" s="46" t="str"/>
      <x:c r="G23" s="46" t="str"/>
      <x:c r="H23" s="53" t="str"/>
      <x:c r="I23" s="46" t="str">
        <x:v>medium</x:v>
      </x:c>
      <x:c r="J23" s="46" t="str">
        <x:v>running</x:v>
      </x:c>
      <x:c r="K23" s="46" t="str"/>
      <x:c r="L23" s="47" t="b">
        <x:v>1</x:v>
      </x:c>
      <x:c r="M23" s="46" t="str">
        <x:v>Imported from source sheets under department מחלקת עטיפות</x:v>
      </x:c>
    </x:row>
    <x:row r="24">
      <x:c r="A24" s="46" t="str">
        <x:v>AST-0021</x:v>
      </x:c>
      <x:c r="B24" s="46" t="str">
        <x:v>פילטר יניקת אבק</x:v>
      </x:c>
      <x:c r="C24" s="46" t="str">
        <x:v>DEPT-003</x:v>
      </x:c>
      <x:c r="D24" s="46" t="str">
        <x:v>מחלקת עטיפות</x:v>
      </x:c>
      <x:c r="E24" s="46" t="str"/>
      <x:c r="F24" s="46" t="str"/>
      <x:c r="G24" s="46" t="str"/>
      <x:c r="H24" s="53" t="str"/>
      <x:c r="I24" s="46" t="str">
        <x:v>medium</x:v>
      </x:c>
      <x:c r="J24" s="46" t="str">
        <x:v>running</x:v>
      </x:c>
      <x:c r="K24" s="46" t="str"/>
      <x:c r="L24" s="47" t="b">
        <x:v>1</x:v>
      </x:c>
      <x:c r="M24" s="46" t="str">
        <x:v>Imported from source sheets under department מחלקת עטיפות</x:v>
      </x:c>
    </x:row>
    <x:row r="25">
      <x:c r="A25" s="46" t="str">
        <x:v>AST-0022</x:v>
      </x:c>
      <x:c r="B25" s="46" t="str">
        <x:v>תא צבע עטיפות</x:v>
      </x:c>
      <x:c r="C25" s="46" t="str">
        <x:v>DEPT-003</x:v>
      </x:c>
      <x:c r="D25" s="46" t="str">
        <x:v>מחלקת עטיפות</x:v>
      </x:c>
      <x:c r="E25" s="46" t="str"/>
      <x:c r="F25" s="46" t="str"/>
      <x:c r="G25" s="46" t="str"/>
      <x:c r="H25" s="53" t="str"/>
      <x:c r="I25" s="46" t="str">
        <x:v>medium</x:v>
      </x:c>
      <x:c r="J25" s="46" t="str">
        <x:v>running</x:v>
      </x:c>
      <x:c r="K25" s="46" t="str"/>
      <x:c r="L25" s="47" t="b">
        <x:v>1</x:v>
      </x:c>
      <x:c r="M25" s="46" t="str">
        <x:v>Imported from source sheets under department מחלקת עטיפות</x:v>
      </x:c>
    </x:row>
    <x:row r="26">
      <x:c r="A26" s="46" t="str">
        <x:v>AST-0023</x:v>
      </x:c>
      <x:c r="B26" s="46" t="str">
        <x:v>תנור קליית צבע</x:v>
      </x:c>
      <x:c r="C26" s="46" t="str">
        <x:v>DEPT-003</x:v>
      </x:c>
      <x:c r="D26" s="46" t="str">
        <x:v>מחלקת עטיפות</x:v>
      </x:c>
      <x:c r="E26" s="46" t="str"/>
      <x:c r="F26" s="46" t="str"/>
      <x:c r="G26" s="46" t="str"/>
      <x:c r="H26" s="53" t="str"/>
      <x:c r="I26" s="46" t="str">
        <x:v>medium</x:v>
      </x:c>
      <x:c r="J26" s="46" t="str">
        <x:v>running</x:v>
      </x:c>
      <x:c r="K26" s="46" t="str"/>
      <x:c r="L26" s="47" t="b">
        <x:v>1</x:v>
      </x:c>
      <x:c r="M26" s="46" t="str">
        <x:v>Imported from source sheets under department מחלקת עטיפות</x:v>
      </x:c>
    </x:row>
    <x:row r="27">
      <x:c r="A27" s="46" t="str">
        <x:v>AST-0024</x:v>
      </x:c>
      <x:c r="B27" s="46" t="str">
        <x:v>חדר מגרסות והכנת אימייל</x:v>
      </x:c>
      <x:c r="C27" s="46" t="str">
        <x:v>DEPT-004</x:v>
      </x:c>
      <x:c r="D27" s="46" t="str">
        <x:v>מילוי ויבוש אימייל</x:v>
      </x:c>
      <x:c r="E27" s="46" t="str"/>
      <x:c r="F27" s="46" t="str"/>
      <x:c r="G27" s="46" t="str"/>
      <x:c r="H27" s="53" t="str"/>
      <x:c r="I27" s="46" t="str">
        <x:v>medium</x:v>
      </x:c>
      <x:c r="J27" s="46" t="str">
        <x:v>running</x:v>
      </x:c>
      <x:c r="K27" s="46" t="str"/>
      <x:c r="L27" s="47" t="b">
        <x:v>1</x:v>
      </x:c>
      <x:c r="M27" s="46" t="str">
        <x:v>Imported from source sheets under department מילוי ויבוש אימייל</x:v>
      </x:c>
    </x:row>
    <x:row r="28">
      <x:c r="A28" s="46" t="str">
        <x:v>AST-0025</x:v>
      </x:c>
      <x:c r="B28" s="46" t="str">
        <x:v>מילוי אימייל</x:v>
      </x:c>
      <x:c r="C28" s="46" t="str">
        <x:v>DEPT-004</x:v>
      </x:c>
      <x:c r="D28" s="46" t="str">
        <x:v>מילוי ויבוש אימייל</x:v>
      </x:c>
      <x:c r="E28" s="46" t="str"/>
      <x:c r="F28" s="46" t="str"/>
      <x:c r="G28" s="46" t="str"/>
      <x:c r="H28" s="53" t="str"/>
      <x:c r="I28" s="46" t="str">
        <x:v>medium</x:v>
      </x:c>
      <x:c r="J28" s="46" t="str">
        <x:v>running</x:v>
      </x:c>
      <x:c r="K28" s="46" t="str"/>
      <x:c r="L28" s="47" t="b">
        <x:v>1</x:v>
      </x:c>
      <x:c r="M28" s="46" t="str">
        <x:v>Imported from source sheets under department מילוי ויבוש אימייל</x:v>
      </x:c>
    </x:row>
    <x:row r="29">
      <x:c r="A29" s="46" t="str">
        <x:v>AST-0026</x:v>
      </x:c>
      <x:c r="B29" s="46" t="str">
        <x:v>מסוע עלי יבוש אמייל</x:v>
      </x:c>
      <x:c r="C29" s="46" t="str">
        <x:v>DEPT-004</x:v>
      </x:c>
      <x:c r="D29" s="46" t="str">
        <x:v>מילוי ויבוש אימייל</x:v>
      </x:c>
      <x:c r="E29" s="46" t="str"/>
      <x:c r="F29" s="46" t="str"/>
      <x:c r="G29" s="46" t="str"/>
      <x:c r="H29" s="53" t="str"/>
      <x:c r="I29" s="46" t="str">
        <x:v>medium</x:v>
      </x:c>
      <x:c r="J29" s="46" t="str">
        <x:v>running</x:v>
      </x:c>
      <x:c r="K29" s="46" t="str"/>
      <x:c r="L29" s="47" t="b">
        <x:v>1</x:v>
      </x:c>
      <x:c r="M29" s="46" t="str">
        <x:v>Imported from source sheets under department מילוי ויבוש אימייל</x:v>
      </x:c>
    </x:row>
    <x:row r="30">
      <x:c r="A30" s="46" t="str">
        <x:v>AST-0027</x:v>
      </x:c>
      <x:c r="B30" s="46" t="str">
        <x:v>מסילות וככנת הרמה חשמלית</x:v>
      </x:c>
      <x:c r="C30" s="46" t="str">
        <x:v>DEPT-004</x:v>
      </x:c>
      <x:c r="D30" s="46" t="str">
        <x:v>מילוי ויבוש אימייל</x:v>
      </x:c>
      <x:c r="E30" s="46" t="str"/>
      <x:c r="F30" s="46" t="str"/>
      <x:c r="G30" s="46" t="str"/>
      <x:c r="H30" s="53" t="str"/>
      <x:c r="I30" s="46" t="str">
        <x:v>medium</x:v>
      </x:c>
      <x:c r="J30" s="46" t="str">
        <x:v>running</x:v>
      </x:c>
      <x:c r="K30" s="46" t="str"/>
      <x:c r="L30" s="47" t="b">
        <x:v>1</x:v>
      </x:c>
      <x:c r="M30" s="46" t="str">
        <x:v>Imported from source sheets under department מילוי ויבוש אימייל</x:v>
      </x:c>
    </x:row>
    <x:row r="31">
      <x:c r="A31" s="46" t="str">
        <x:v>AST-0028</x:v>
      </x:c>
      <x:c r="B31" s="46" t="str">
        <x:v>שני תנורים ותעלת יבוש אימייל</x:v>
      </x:c>
      <x:c r="C31" s="46" t="str">
        <x:v>DEPT-004</x:v>
      </x:c>
      <x:c r="D31" s="46" t="str">
        <x:v>מילוי ויבוש אימייל</x:v>
      </x:c>
      <x:c r="E31" s="46" t="str"/>
      <x:c r="F31" s="46" t="str"/>
      <x:c r="G31" s="46" t="str"/>
      <x:c r="H31" s="53" t="str"/>
      <x:c r="I31" s="46" t="str">
        <x:v>medium</x:v>
      </x:c>
      <x:c r="J31" s="46" t="str">
        <x:v>running</x:v>
      </x:c>
      <x:c r="K31" s="46" t="str"/>
      <x:c r="L31" s="47" t="b">
        <x:v>1</x:v>
      </x:c>
      <x:c r="M31" s="46" t="str">
        <x:v>Imported from source sheets under department מילוי ויבוש אימייל</x:v>
      </x:c>
    </x:row>
    <x:row r="32">
      <x:c r="A32" s="46" t="str">
        <x:v>AST-0029</x:v>
      </x:c>
      <x:c r="B32" s="46" t="str">
        <x:v>מסוע עלי</x:v>
      </x:c>
      <x:c r="C32" s="46" t="str">
        <x:v>DEPT-005</x:v>
      </x:c>
      <x:c r="D32" s="46" t="str">
        <x:v>מערכת שרפת אימייל</x:v>
      </x:c>
      <x:c r="E32" s="46" t="str"/>
      <x:c r="F32" s="46" t="str"/>
      <x:c r="G32" s="46" t="str"/>
      <x:c r="H32" s="53" t="str"/>
      <x:c r="I32" s="46" t="str">
        <x:v>medium</x:v>
      </x:c>
      <x:c r="J32" s="46" t="str">
        <x:v>running</x:v>
      </x:c>
      <x:c r="K32" s="46" t="str"/>
      <x:c r="L32" s="47" t="b">
        <x:v>1</x:v>
      </x:c>
      <x:c r="M32" s="46" t="str">
        <x:v>Imported from source sheets under department מערכת שרפת אימייל</x:v>
      </x:c>
    </x:row>
    <x:row r="33">
      <x:c r="A33" s="46" t="str">
        <x:v>AST-0030</x:v>
      </x:c>
      <x:c r="B33" s="46" t="str">
        <x:v>מסילות וכננת הרמה חשמלית</x:v>
      </x:c>
      <x:c r="C33" s="46" t="str">
        <x:v>DEPT-005</x:v>
      </x:c>
      <x:c r="D33" s="46" t="str">
        <x:v>מערכת שרפת אימייל</x:v>
      </x:c>
      <x:c r="E33" s="46" t="str"/>
      <x:c r="F33" s="46" t="str"/>
      <x:c r="G33" s="46" t="str"/>
      <x:c r="H33" s="53" t="str"/>
      <x:c r="I33" s="46" t="str">
        <x:v>medium</x:v>
      </x:c>
      <x:c r="J33" s="46" t="str">
        <x:v>running</x:v>
      </x:c>
      <x:c r="K33" s="46" t="str"/>
      <x:c r="L33" s="47" t="b">
        <x:v>1</x:v>
      </x:c>
      <x:c r="M33" s="46" t="str">
        <x:v>Imported from source sheets under department מערכת שרפת אימייל</x:v>
      </x:c>
    </x:row>
    <x:row r="34">
      <x:c r="A34" s="46" t="str">
        <x:v>AST-0031</x:v>
      </x:c>
      <x:c r="B34" s="46" t="str">
        <x:v>תנור שרפת אימייל</x:v>
      </x:c>
      <x:c r="C34" s="46" t="str">
        <x:v>DEPT-005</x:v>
      </x:c>
      <x:c r="D34" s="46" t="str">
        <x:v>מערכת שרפת אימייל</x:v>
      </x:c>
      <x:c r="E34" s="46" t="str"/>
      <x:c r="F34" s="46" t="str"/>
      <x:c r="G34" s="46" t="str"/>
      <x:c r="H34" s="53" t="str"/>
      <x:c r="I34" s="46" t="str">
        <x:v>medium</x:v>
      </x:c>
      <x:c r="J34" s="46" t="str">
        <x:v>running</x:v>
      </x:c>
      <x:c r="K34" s="46" t="str"/>
      <x:c r="L34" s="47" t="b">
        <x:v>1</x:v>
      </x:c>
      <x:c r="M34" s="46" t="str">
        <x:v>Imported from source sheets under department מערכת שרפת אימייל</x:v>
      </x:c>
    </x:row>
    <x:row r="35">
      <x:c r="A35" s="46"/>
      <x:c r="B35" s="46"/>
      <x:c r="C35" s="46"/>
      <x:c r="D35" s="46"/>
      <x:c r="E35" s="46"/>
      <x:c r="F35" s="46"/>
      <x:c r="G35" s="46"/>
      <x:c r="H35" s="53"/>
      <x:c r="I35" s="46"/>
      <x:c r="J35" s="46"/>
      <x:c r="K35" s="46"/>
      <x:c r="L35" s="46"/>
      <x:c r="M35" s="46"/>
    </x:row>
    <x:row r="36">
      <x:c r="A36" s="46"/>
      <x:c r="B36" s="46"/>
      <x:c r="C36" s="46"/>
      <x:c r="D36" s="46"/>
      <x:c r="E36" s="46"/>
      <x:c r="F36" s="46"/>
      <x:c r="G36" s="46"/>
      <x:c r="H36" s="53"/>
      <x:c r="I36" s="46"/>
      <x:c r="J36" s="46"/>
      <x:c r="K36" s="46"/>
      <x:c r="L36" s="46"/>
      <x:c r="M36" s="46"/>
    </x:row>
    <x:row r="37">
      <x:c r="A37" s="46"/>
      <x:c r="B37" s="46"/>
      <x:c r="C37" s="46"/>
      <x:c r="D37" s="46"/>
      <x:c r="E37" s="46"/>
      <x:c r="F37" s="46"/>
      <x:c r="G37" s="46"/>
      <x:c r="H37" s="53"/>
      <x:c r="I37" s="46"/>
      <x:c r="J37" s="46"/>
      <x:c r="K37" s="46"/>
      <x:c r="L37" s="46"/>
      <x:c r="M37" s="46"/>
    </x:row>
    <x:row r="38">
      <x:c r="A38" s="46"/>
      <x:c r="B38" s="46"/>
      <x:c r="C38" s="46"/>
      <x:c r="D38" s="46"/>
      <x:c r="E38" s="46"/>
      <x:c r="F38" s="46"/>
      <x:c r="G38" s="46"/>
      <x:c r="H38" s="53"/>
      <x:c r="I38" s="46"/>
      <x:c r="J38" s="46"/>
      <x:c r="K38" s="46"/>
      <x:c r="L38" s="46"/>
      <x:c r="M38" s="46"/>
    </x:row>
    <x:row r="39">
      <x:c r="A39" s="46"/>
      <x:c r="B39" s="46"/>
      <x:c r="C39" s="46"/>
      <x:c r="D39" s="46"/>
      <x:c r="E39" s="46"/>
      <x:c r="F39" s="46"/>
      <x:c r="G39" s="46"/>
      <x:c r="H39" s="53"/>
      <x:c r="I39" s="46"/>
      <x:c r="J39" s="46"/>
      <x:c r="K39" s="46"/>
      <x:c r="L39" s="46"/>
      <x:c r="M39" s="46"/>
    </x:row>
    <x:row r="40">
      <x:c r="A40" s="46"/>
      <x:c r="B40" s="46"/>
      <x:c r="C40" s="46"/>
      <x:c r="D40" s="46"/>
      <x:c r="E40" s="46"/>
      <x:c r="F40" s="46"/>
      <x:c r="G40" s="46"/>
      <x:c r="H40" s="53"/>
      <x:c r="I40" s="46"/>
      <x:c r="J40" s="46"/>
      <x:c r="K40" s="46"/>
      <x:c r="L40" s="46"/>
      <x:c r="M40" s="46"/>
    </x:row>
    <x:row r="41">
      <x:c r="A41" s="46"/>
      <x:c r="B41" s="46"/>
      <x:c r="C41" s="46"/>
      <x:c r="D41" s="46"/>
      <x:c r="E41" s="46"/>
      <x:c r="F41" s="46"/>
      <x:c r="G41" s="46"/>
      <x:c r="H41" s="53"/>
      <x:c r="I41" s="46"/>
      <x:c r="J41" s="46"/>
      <x:c r="K41" s="46"/>
      <x:c r="L41" s="46"/>
      <x:c r="M41" s="46"/>
    </x:row>
    <x:row r="42">
      <x:c r="A42" s="46"/>
      <x:c r="B42" s="46"/>
      <x:c r="C42" s="46"/>
      <x:c r="D42" s="46"/>
      <x:c r="E42" s="46"/>
      <x:c r="F42" s="46"/>
      <x:c r="G42" s="46"/>
      <x:c r="H42" s="53"/>
      <x:c r="I42" s="46"/>
      <x:c r="J42" s="46"/>
      <x:c r="K42" s="46"/>
      <x:c r="L42" s="46"/>
      <x:c r="M42" s="46"/>
    </x:row>
    <x:row r="43">
      <x:c r="A43" s="46"/>
      <x:c r="B43" s="46"/>
      <x:c r="C43" s="46"/>
      <x:c r="D43" s="46"/>
      <x:c r="E43" s="46"/>
      <x:c r="F43" s="46"/>
      <x:c r="G43" s="46"/>
      <x:c r="H43" s="53"/>
      <x:c r="I43" s="46"/>
      <x:c r="J43" s="46"/>
      <x:c r="K43" s="46"/>
      <x:c r="L43" s="46"/>
      <x:c r="M43" s="46"/>
    </x:row>
    <x:row r="44">
      <x:c r="A44" s="46"/>
      <x:c r="B44" s="46"/>
      <x:c r="C44" s="46"/>
      <x:c r="D44" s="46"/>
      <x:c r="E44" s="46"/>
      <x:c r="F44" s="46"/>
      <x:c r="G44" s="46"/>
      <x:c r="H44" s="53"/>
      <x:c r="I44" s="46"/>
      <x:c r="J44" s="46"/>
      <x:c r="K44" s="46"/>
      <x:c r="L44" s="46"/>
      <x:c r="M44" s="46"/>
    </x:row>
    <x:row r="45">
      <x:c r="A45" s="46"/>
      <x:c r="B45" s="46"/>
      <x:c r="C45" s="46"/>
      <x:c r="D45" s="46"/>
      <x:c r="E45" s="46"/>
      <x:c r="F45" s="46"/>
      <x:c r="G45" s="46"/>
      <x:c r="H45" s="53"/>
      <x:c r="I45" s="46"/>
      <x:c r="J45" s="46"/>
      <x:c r="K45" s="46"/>
      <x:c r="L45" s="46"/>
      <x:c r="M45" s="46"/>
    </x:row>
    <x:row r="46">
      <x:c r="A46" s="46"/>
      <x:c r="B46" s="46"/>
      <x:c r="C46" s="46"/>
      <x:c r="D46" s="46"/>
      <x:c r="E46" s="46"/>
      <x:c r="F46" s="46"/>
      <x:c r="G46" s="46"/>
      <x:c r="H46" s="53"/>
      <x:c r="I46" s="46"/>
      <x:c r="J46" s="46"/>
      <x:c r="K46" s="46"/>
      <x:c r="L46" s="46"/>
      <x:c r="M46" s="46"/>
    </x:row>
    <x:row r="47">
      <x:c r="A47" s="46"/>
      <x:c r="B47" s="46"/>
      <x:c r="C47" s="46"/>
      <x:c r="D47" s="46"/>
      <x:c r="E47" s="46"/>
      <x:c r="F47" s="46"/>
      <x:c r="G47" s="46"/>
      <x:c r="H47" s="53"/>
      <x:c r="I47" s="46"/>
      <x:c r="J47" s="46"/>
      <x:c r="K47" s="46"/>
      <x:c r="L47" s="46"/>
      <x:c r="M47" s="46"/>
    </x:row>
    <x:row r="48">
      <x:c r="A48" s="46"/>
      <x:c r="B48" s="46"/>
      <x:c r="C48" s="46"/>
      <x:c r="D48" s="46"/>
      <x:c r="E48" s="46"/>
      <x:c r="F48" s="46"/>
      <x:c r="G48" s="46"/>
      <x:c r="H48" s="53"/>
      <x:c r="I48" s="46"/>
      <x:c r="J48" s="46"/>
      <x:c r="K48" s="46"/>
      <x:c r="L48" s="46"/>
      <x:c r="M48" s="46"/>
    </x:row>
    <x:row r="49">
      <x:c r="A49" s="46"/>
      <x:c r="B49" s="46"/>
      <x:c r="C49" s="46"/>
      <x:c r="D49" s="46"/>
      <x:c r="E49" s="46"/>
      <x:c r="F49" s="46"/>
      <x:c r="G49" s="46"/>
      <x:c r="H49" s="53"/>
      <x:c r="I49" s="46"/>
      <x:c r="J49" s="46"/>
      <x:c r="K49" s="46"/>
      <x:c r="L49" s="46"/>
      <x:c r="M49" s="46"/>
    </x:row>
    <x:row r="50">
      <x:c r="A50" s="46"/>
      <x:c r="B50" s="46"/>
      <x:c r="C50" s="46"/>
      <x:c r="D50" s="46"/>
      <x:c r="E50" s="46"/>
      <x:c r="F50" s="46"/>
      <x:c r="G50" s="46"/>
      <x:c r="H50" s="53"/>
      <x:c r="I50" s="46"/>
      <x:c r="J50" s="46"/>
      <x:c r="K50" s="46"/>
      <x:c r="L50" s="46"/>
      <x:c r="M50" s="46"/>
    </x:row>
    <x:row r="51">
      <x:c r="A51" s="46"/>
      <x:c r="B51" s="46"/>
      <x:c r="C51" s="46"/>
      <x:c r="D51" s="46"/>
      <x:c r="E51" s="46"/>
      <x:c r="F51" s="46"/>
      <x:c r="G51" s="46"/>
      <x:c r="H51" s="53"/>
      <x:c r="I51" s="46"/>
      <x:c r="J51" s="46"/>
      <x:c r="K51" s="46"/>
      <x:c r="L51" s="46"/>
      <x:c r="M51" s="46"/>
    </x:row>
    <x:row r="52">
      <x:c r="A52" s="46"/>
      <x:c r="B52" s="46"/>
      <x:c r="C52" s="46"/>
      <x:c r="D52" s="46"/>
      <x:c r="E52" s="46"/>
      <x:c r="F52" s="46"/>
      <x:c r="G52" s="46"/>
      <x:c r="H52" s="53"/>
      <x:c r="I52" s="46"/>
      <x:c r="J52" s="46"/>
      <x:c r="K52" s="46"/>
      <x:c r="L52" s="46"/>
      <x:c r="M52" s="46"/>
    </x:row>
    <x:row r="53">
      <x:c r="A53" s="46"/>
      <x:c r="B53" s="46"/>
      <x:c r="C53" s="46"/>
      <x:c r="D53" s="46"/>
      <x:c r="E53" s="46"/>
      <x:c r="F53" s="46"/>
      <x:c r="G53" s="46"/>
      <x:c r="H53" s="53"/>
      <x:c r="I53" s="46"/>
      <x:c r="J53" s="46"/>
      <x:c r="K53" s="46"/>
      <x:c r="L53" s="46"/>
      <x:c r="M53" s="46"/>
    </x:row>
    <x:row r="54">
      <x:c r="A54" s="46"/>
      <x:c r="B54" s="46"/>
      <x:c r="C54" s="46"/>
      <x:c r="D54" s="46"/>
      <x:c r="E54" s="46"/>
      <x:c r="F54" s="46"/>
      <x:c r="G54" s="46"/>
      <x:c r="H54" s="53"/>
      <x:c r="I54" s="46"/>
      <x:c r="J54" s="46"/>
      <x:c r="K54" s="46"/>
      <x:c r="L54" s="46"/>
      <x:c r="M54" s="46"/>
    </x:row>
    <x:row r="55">
      <x:c r="A55" s="46"/>
      <x:c r="B55" s="46"/>
      <x:c r="C55" s="46"/>
      <x:c r="D55" s="46"/>
      <x:c r="E55" s="46"/>
      <x:c r="F55" s="46"/>
      <x:c r="G55" s="46"/>
      <x:c r="H55" s="53"/>
      <x:c r="I55" s="46"/>
      <x:c r="J55" s="46"/>
      <x:c r="K55" s="46"/>
      <x:c r="L55" s="46"/>
      <x:c r="M55" s="46"/>
    </x:row>
    <x:row r="56">
      <x:c r="A56" s="46"/>
      <x:c r="B56" s="46"/>
      <x:c r="C56" s="46"/>
      <x:c r="D56" s="46"/>
      <x:c r="E56" s="46"/>
      <x:c r="F56" s="46"/>
      <x:c r="G56" s="46"/>
      <x:c r="H56" s="53"/>
      <x:c r="I56" s="46"/>
      <x:c r="J56" s="46"/>
      <x:c r="K56" s="46"/>
      <x:c r="L56" s="46"/>
      <x:c r="M56" s="46"/>
    </x:row>
    <x:row r="57">
      <x:c r="A57" s="46"/>
      <x:c r="B57" s="46"/>
      <x:c r="C57" s="46"/>
      <x:c r="D57" s="46"/>
      <x:c r="E57" s="46"/>
      <x:c r="F57" s="46"/>
      <x:c r="G57" s="46"/>
      <x:c r="H57" s="53"/>
      <x:c r="I57" s="46"/>
      <x:c r="J57" s="46"/>
      <x:c r="K57" s="46"/>
      <x:c r="L57" s="46"/>
      <x:c r="M57" s="46"/>
    </x:row>
    <x:row r="58">
      <x:c r="A58" s="46"/>
      <x:c r="B58" s="46"/>
      <x:c r="C58" s="46"/>
      <x:c r="D58" s="46"/>
      <x:c r="E58" s="46"/>
      <x:c r="F58" s="46"/>
      <x:c r="G58" s="46"/>
      <x:c r="H58" s="53"/>
      <x:c r="I58" s="46"/>
      <x:c r="J58" s="46"/>
      <x:c r="K58" s="46"/>
      <x:c r="L58" s="46"/>
      <x:c r="M58" s="46"/>
    </x:row>
    <x:row r="59">
      <x:c r="A59" s="46"/>
      <x:c r="B59" s="46"/>
      <x:c r="C59" s="46"/>
      <x:c r="D59" s="46"/>
      <x:c r="E59" s="46"/>
      <x:c r="F59" s="46"/>
      <x:c r="G59" s="46"/>
      <x:c r="H59" s="53"/>
      <x:c r="I59" s="46"/>
      <x:c r="J59" s="46"/>
      <x:c r="K59" s="46"/>
      <x:c r="L59" s="46"/>
      <x:c r="M59" s="46"/>
    </x:row>
    <x:row r="60">
      <x:c r="A60" s="46"/>
      <x:c r="B60" s="46"/>
      <x:c r="C60" s="46"/>
      <x:c r="D60" s="46"/>
      <x:c r="E60" s="46"/>
      <x:c r="F60" s="46"/>
      <x:c r="G60" s="46"/>
      <x:c r="H60" s="53"/>
      <x:c r="I60" s="46"/>
      <x:c r="J60" s="46"/>
      <x:c r="K60" s="46"/>
      <x:c r="L60" s="46"/>
      <x:c r="M60" s="46"/>
    </x:row>
    <x:row r="61">
      <x:c r="A61" s="46"/>
      <x:c r="B61" s="46"/>
      <x:c r="C61" s="46"/>
      <x:c r="D61" s="46"/>
      <x:c r="E61" s="46"/>
      <x:c r="F61" s="46"/>
      <x:c r="G61" s="46"/>
      <x:c r="H61" s="53"/>
      <x:c r="I61" s="46"/>
      <x:c r="J61" s="46"/>
      <x:c r="K61" s="46"/>
      <x:c r="L61" s="46"/>
      <x:c r="M61" s="46"/>
    </x:row>
    <x:row r="62">
      <x:c r="A62" s="46"/>
      <x:c r="B62" s="46"/>
      <x:c r="C62" s="46"/>
      <x:c r="D62" s="46"/>
      <x:c r="E62" s="46"/>
      <x:c r="F62" s="46"/>
      <x:c r="G62" s="46"/>
      <x:c r="H62" s="53"/>
      <x:c r="I62" s="46"/>
      <x:c r="J62" s="46"/>
      <x:c r="K62" s="46"/>
      <x:c r="L62" s="46"/>
      <x:c r="M62" s="46"/>
    </x:row>
    <x:row r="63">
      <x:c r="A63" s="46"/>
      <x:c r="B63" s="46"/>
      <x:c r="C63" s="46"/>
      <x:c r="D63" s="46"/>
      <x:c r="E63" s="46"/>
      <x:c r="F63" s="46"/>
      <x:c r="G63" s="46"/>
      <x:c r="H63" s="53"/>
      <x:c r="I63" s="46"/>
      <x:c r="J63" s="46"/>
      <x:c r="K63" s="46"/>
      <x:c r="L63" s="46"/>
      <x:c r="M63" s="46"/>
    </x:row>
    <x:row r="64">
      <x:c r="A64" s="46"/>
      <x:c r="B64" s="46"/>
      <x:c r="C64" s="46"/>
      <x:c r="D64" s="46"/>
      <x:c r="E64" s="46"/>
      <x:c r="F64" s="46"/>
      <x:c r="G64" s="46"/>
      <x:c r="H64" s="53"/>
      <x:c r="I64" s="46"/>
      <x:c r="J64" s="46"/>
      <x:c r="K64" s="46"/>
      <x:c r="L64" s="46"/>
      <x:c r="M64" s="46"/>
    </x:row>
    <x:row r="65">
      <x:c r="A65" s="46"/>
      <x:c r="B65" s="46"/>
      <x:c r="C65" s="46"/>
      <x:c r="D65" s="46"/>
      <x:c r="E65" s="46"/>
      <x:c r="F65" s="46"/>
      <x:c r="G65" s="46"/>
      <x:c r="H65" s="53"/>
      <x:c r="I65" s="46"/>
      <x:c r="J65" s="46"/>
      <x:c r="K65" s="46"/>
      <x:c r="L65" s="46"/>
      <x:c r="M65" s="46"/>
    </x:row>
    <x:row r="66">
      <x:c r="A66" s="46"/>
      <x:c r="B66" s="46"/>
      <x:c r="C66" s="46"/>
      <x:c r="D66" s="46"/>
      <x:c r="E66" s="46"/>
      <x:c r="F66" s="46"/>
      <x:c r="G66" s="46"/>
      <x:c r="H66" s="53"/>
      <x:c r="I66" s="46"/>
      <x:c r="J66" s="46"/>
      <x:c r="K66" s="46"/>
      <x:c r="L66" s="46"/>
      <x:c r="M66" s="46"/>
    </x:row>
    <x:row r="67">
      <x:c r="A67" s="46"/>
      <x:c r="B67" s="46"/>
      <x:c r="C67" s="46"/>
      <x:c r="D67" s="46"/>
      <x:c r="E67" s="46"/>
      <x:c r="F67" s="46"/>
      <x:c r="G67" s="46"/>
      <x:c r="H67" s="53"/>
      <x:c r="I67" s="46"/>
      <x:c r="J67" s="46"/>
      <x:c r="K67" s="46"/>
      <x:c r="L67" s="46"/>
      <x:c r="M67" s="46"/>
    </x:row>
    <x:row r="68">
      <x:c r="A68" s="46"/>
      <x:c r="B68" s="46"/>
      <x:c r="C68" s="46"/>
      <x:c r="D68" s="46"/>
      <x:c r="E68" s="46"/>
      <x:c r="F68" s="46"/>
      <x:c r="G68" s="46"/>
      <x:c r="H68" s="53"/>
      <x:c r="I68" s="46"/>
      <x:c r="J68" s="46"/>
      <x:c r="K68" s="46"/>
      <x:c r="L68" s="46"/>
      <x:c r="M68" s="46"/>
    </x:row>
    <x:row r="69">
      <x:c r="A69" s="46"/>
      <x:c r="B69" s="46"/>
      <x:c r="C69" s="46"/>
      <x:c r="D69" s="46"/>
      <x:c r="E69" s="46"/>
      <x:c r="F69" s="46"/>
      <x:c r="G69" s="46"/>
      <x:c r="H69" s="53"/>
      <x:c r="I69" s="46"/>
      <x:c r="J69" s="46"/>
      <x:c r="K69" s="46"/>
      <x:c r="L69" s="46"/>
      <x:c r="M69" s="46"/>
    </x:row>
    <x:row r="70">
      <x:c r="A70" s="46"/>
      <x:c r="B70" s="46"/>
      <x:c r="C70" s="46"/>
      <x:c r="D70" s="46"/>
      <x:c r="E70" s="46"/>
      <x:c r="F70" s="46"/>
      <x:c r="G70" s="46"/>
      <x:c r="H70" s="53"/>
      <x:c r="I70" s="46"/>
      <x:c r="J70" s="46"/>
      <x:c r="K70" s="46"/>
      <x:c r="L70" s="46"/>
      <x:c r="M70" s="46"/>
    </x:row>
    <x:row r="71">
      <x:c r="A71" s="46"/>
      <x:c r="B71" s="46"/>
      <x:c r="C71" s="46"/>
      <x:c r="D71" s="46"/>
      <x:c r="E71" s="46"/>
      <x:c r="F71" s="46"/>
      <x:c r="G71" s="46"/>
      <x:c r="H71" s="53"/>
      <x:c r="I71" s="46"/>
      <x:c r="J71" s="46"/>
      <x:c r="K71" s="46"/>
      <x:c r="L71" s="46"/>
      <x:c r="M71" s="46"/>
    </x:row>
    <x:row r="72">
      <x:c r="A72" s="46"/>
      <x:c r="B72" s="46"/>
      <x:c r="C72" s="46"/>
      <x:c r="D72" s="46"/>
      <x:c r="E72" s="46"/>
      <x:c r="F72" s="46"/>
      <x:c r="G72" s="46"/>
      <x:c r="H72" s="53"/>
      <x:c r="I72" s="46"/>
      <x:c r="J72" s="46"/>
      <x:c r="K72" s="46"/>
      <x:c r="L72" s="46"/>
      <x:c r="M72" s="46"/>
    </x:row>
    <x:row r="73">
      <x:c r="A73" s="46"/>
      <x:c r="B73" s="46"/>
      <x:c r="C73" s="46"/>
      <x:c r="D73" s="46"/>
      <x:c r="E73" s="46"/>
      <x:c r="F73" s="46"/>
      <x:c r="G73" s="46"/>
      <x:c r="H73" s="53"/>
      <x:c r="I73" s="46"/>
      <x:c r="J73" s="46"/>
      <x:c r="K73" s="46"/>
      <x:c r="L73" s="46"/>
      <x:c r="M73" s="46"/>
    </x:row>
    <x:row r="74">
      <x:c r="A74" s="46"/>
      <x:c r="B74" s="46"/>
      <x:c r="C74" s="46"/>
      <x:c r="D74" s="46"/>
      <x:c r="E74" s="46"/>
      <x:c r="F74" s="46"/>
      <x:c r="G74" s="46"/>
      <x:c r="H74" s="53"/>
      <x:c r="I74" s="46"/>
      <x:c r="J74" s="46"/>
      <x:c r="K74" s="46"/>
      <x:c r="L74" s="46"/>
      <x:c r="M74" s="46"/>
    </x:row>
    <x:row r="75">
      <x:c r="A75" s="46"/>
      <x:c r="B75" s="46"/>
      <x:c r="C75" s="46"/>
      <x:c r="D75" s="46"/>
      <x:c r="E75" s="46"/>
      <x:c r="F75" s="46"/>
      <x:c r="G75" s="46"/>
      <x:c r="H75" s="53"/>
      <x:c r="I75" s="46"/>
      <x:c r="J75" s="46"/>
      <x:c r="K75" s="46"/>
      <x:c r="L75" s="46"/>
      <x:c r="M75" s="46"/>
    </x:row>
    <x:row r="76">
      <x:c r="A76" s="46"/>
      <x:c r="B76" s="46"/>
      <x:c r="C76" s="46"/>
      <x:c r="D76" s="46"/>
      <x:c r="E76" s="46"/>
      <x:c r="F76" s="46"/>
      <x:c r="G76" s="46"/>
      <x:c r="H76" s="53"/>
      <x:c r="I76" s="46"/>
      <x:c r="J76" s="46"/>
      <x:c r="K76" s="46"/>
      <x:c r="L76" s="46"/>
      <x:c r="M76" s="46"/>
    </x:row>
    <x:row r="77">
      <x:c r="A77" s="46"/>
      <x:c r="B77" s="46"/>
      <x:c r="C77" s="46"/>
      <x:c r="D77" s="46"/>
      <x:c r="E77" s="46"/>
      <x:c r="F77" s="46"/>
      <x:c r="G77" s="46"/>
      <x:c r="H77" s="53"/>
      <x:c r="I77" s="46"/>
      <x:c r="J77" s="46"/>
      <x:c r="K77" s="46"/>
      <x:c r="L77" s="46"/>
      <x:c r="M77" s="46"/>
    </x:row>
    <x:row r="78">
      <x:c r="A78" s="46"/>
      <x:c r="B78" s="46"/>
      <x:c r="C78" s="46"/>
      <x:c r="D78" s="46"/>
      <x:c r="E78" s="46"/>
      <x:c r="F78" s="46"/>
      <x:c r="G78" s="46"/>
      <x:c r="H78" s="53"/>
      <x:c r="I78" s="46"/>
      <x:c r="J78" s="46"/>
      <x:c r="K78" s="46"/>
      <x:c r="L78" s="46"/>
      <x:c r="M78" s="46"/>
    </x:row>
    <x:row r="79">
      <x:c r="A79" s="46"/>
      <x:c r="B79" s="46"/>
      <x:c r="C79" s="46"/>
      <x:c r="D79" s="46"/>
      <x:c r="E79" s="46"/>
      <x:c r="F79" s="46"/>
      <x:c r="G79" s="46"/>
      <x:c r="H79" s="53"/>
      <x:c r="I79" s="46"/>
      <x:c r="J79" s="46"/>
      <x:c r="K79" s="46"/>
      <x:c r="L79" s="46"/>
      <x:c r="M79" s="46"/>
    </x:row>
    <x:row r="80">
      <x:c r="A80" s="46"/>
      <x:c r="B80" s="46"/>
      <x:c r="C80" s="46"/>
      <x:c r="D80" s="46"/>
      <x:c r="E80" s="46"/>
      <x:c r="F80" s="46"/>
      <x:c r="G80" s="46"/>
      <x:c r="H80" s="53"/>
      <x:c r="I80" s="46"/>
      <x:c r="J80" s="46"/>
      <x:c r="K80" s="46"/>
      <x:c r="L80" s="46"/>
      <x:c r="M80" s="46"/>
    </x:row>
    <x:row r="81">
      <x:c r="A81" s="46"/>
      <x:c r="B81" s="46"/>
      <x:c r="C81" s="46"/>
      <x:c r="D81" s="46"/>
      <x:c r="E81" s="46"/>
      <x:c r="F81" s="46"/>
      <x:c r="G81" s="46"/>
      <x:c r="H81" s="53"/>
      <x:c r="I81" s="46"/>
      <x:c r="J81" s="46"/>
      <x:c r="K81" s="46"/>
      <x:c r="L81" s="46"/>
      <x:c r="M81" s="46"/>
    </x:row>
    <x:row r="82">
      <x:c r="A82" s="46"/>
      <x:c r="B82" s="46"/>
      <x:c r="C82" s="46"/>
      <x:c r="D82" s="46"/>
      <x:c r="E82" s="46"/>
      <x:c r="F82" s="46"/>
      <x:c r="G82" s="46"/>
      <x:c r="H82" s="53"/>
      <x:c r="I82" s="46"/>
      <x:c r="J82" s="46"/>
      <x:c r="K82" s="46"/>
      <x:c r="L82" s="46"/>
      <x:c r="M82" s="46"/>
    </x:row>
    <x:row r="83">
      <x:c r="A83" s="46"/>
      <x:c r="B83" s="46"/>
      <x:c r="C83" s="46"/>
      <x:c r="D83" s="46"/>
      <x:c r="E83" s="46"/>
      <x:c r="F83" s="46"/>
      <x:c r="G83" s="46"/>
      <x:c r="H83" s="53"/>
      <x:c r="I83" s="46"/>
      <x:c r="J83" s="46"/>
      <x:c r="K83" s="46"/>
      <x:c r="L83" s="46"/>
      <x:c r="M83" s="46"/>
    </x:row>
    <x:row r="84">
      <x:c r="A84" s="46"/>
      <x:c r="B84" s="46"/>
      <x:c r="C84" s="46"/>
      <x:c r="D84" s="46"/>
      <x:c r="E84" s="46"/>
      <x:c r="F84" s="46"/>
      <x:c r="G84" s="46"/>
      <x:c r="H84" s="53"/>
      <x:c r="I84" s="46"/>
      <x:c r="J84" s="46"/>
      <x:c r="K84" s="46"/>
      <x:c r="L84" s="46"/>
      <x:c r="M84" s="46"/>
    </x:row>
    <x:row r="85">
      <x:c r="A85" s="46"/>
      <x:c r="B85" s="46"/>
      <x:c r="C85" s="46"/>
      <x:c r="D85" s="46"/>
      <x:c r="E85" s="46"/>
      <x:c r="F85" s="46"/>
      <x:c r="G85" s="46"/>
      <x:c r="H85" s="53"/>
      <x:c r="I85" s="46"/>
      <x:c r="J85" s="46"/>
      <x:c r="K85" s="46"/>
      <x:c r="L85" s="46"/>
      <x:c r="M85" s="46"/>
    </x:row>
    <x:row r="86">
      <x:c r="A86" s="46"/>
      <x:c r="B86" s="46"/>
      <x:c r="C86" s="46"/>
      <x:c r="D86" s="46"/>
      <x:c r="E86" s="46"/>
      <x:c r="F86" s="46"/>
      <x:c r="G86" s="46"/>
      <x:c r="H86" s="53"/>
      <x:c r="I86" s="46"/>
      <x:c r="J86" s="46"/>
      <x:c r="K86" s="46"/>
      <x:c r="L86" s="46"/>
      <x:c r="M86" s="46"/>
    </x:row>
    <x:row r="87">
      <x:c r="A87" s="46"/>
      <x:c r="B87" s="46"/>
      <x:c r="C87" s="46"/>
      <x:c r="D87" s="46"/>
      <x:c r="E87" s="46"/>
      <x:c r="F87" s="46"/>
      <x:c r="G87" s="46"/>
      <x:c r="H87" s="53"/>
      <x:c r="I87" s="46"/>
      <x:c r="J87" s="46"/>
      <x:c r="K87" s="46"/>
      <x:c r="L87" s="46"/>
      <x:c r="M87" s="46"/>
    </x:row>
    <x:row r="88">
      <x:c r="A88" s="46"/>
      <x:c r="B88" s="46"/>
      <x:c r="C88" s="46"/>
      <x:c r="D88" s="46"/>
      <x:c r="E88" s="46"/>
      <x:c r="F88" s="46"/>
      <x:c r="G88" s="46"/>
      <x:c r="H88" s="53"/>
      <x:c r="I88" s="46"/>
      <x:c r="J88" s="46"/>
      <x:c r="K88" s="46"/>
      <x:c r="L88" s="46"/>
      <x:c r="M88" s="46"/>
    </x:row>
    <x:row r="89">
      <x:c r="A89" s="46"/>
      <x:c r="B89" s="46"/>
      <x:c r="C89" s="46"/>
      <x:c r="D89" s="46"/>
      <x:c r="E89" s="46"/>
      <x:c r="F89" s="46"/>
      <x:c r="G89" s="46"/>
      <x:c r="H89" s="53"/>
      <x:c r="I89" s="46"/>
      <x:c r="J89" s="46"/>
      <x:c r="K89" s="46"/>
      <x:c r="L89" s="46"/>
      <x:c r="M89" s="46"/>
    </x:row>
    <x:row r="90">
      <x:c r="A90" s="46"/>
      <x:c r="B90" s="46"/>
      <x:c r="C90" s="46"/>
      <x:c r="D90" s="46"/>
      <x:c r="E90" s="46"/>
      <x:c r="F90" s="46"/>
      <x:c r="G90" s="46"/>
      <x:c r="H90" s="53"/>
      <x:c r="I90" s="46"/>
      <x:c r="J90" s="46"/>
      <x:c r="K90" s="46"/>
      <x:c r="L90" s="46"/>
      <x:c r="M90" s="46"/>
    </x:row>
    <x:row r="91">
      <x:c r="A91" s="46"/>
      <x:c r="B91" s="46"/>
      <x:c r="C91" s="46"/>
      <x:c r="D91" s="46"/>
      <x:c r="E91" s="46"/>
      <x:c r="F91" s="46"/>
      <x:c r="G91" s="46"/>
      <x:c r="H91" s="53"/>
      <x:c r="I91" s="46"/>
      <x:c r="J91" s="46"/>
      <x:c r="K91" s="46"/>
      <x:c r="L91" s="46"/>
      <x:c r="M91" s="46"/>
    </x:row>
    <x:row r="92">
      <x:c r="A92" s="46"/>
      <x:c r="B92" s="46"/>
      <x:c r="C92" s="46"/>
      <x:c r="D92" s="46"/>
      <x:c r="E92" s="46"/>
      <x:c r="F92" s="46"/>
      <x:c r="G92" s="46"/>
      <x:c r="H92" s="53"/>
      <x:c r="I92" s="46"/>
      <x:c r="J92" s="46"/>
      <x:c r="K92" s="46"/>
      <x:c r="L92" s="46"/>
      <x:c r="M92" s="46"/>
    </x:row>
    <x:row r="93">
      <x:c r="A93" s="46"/>
      <x:c r="B93" s="46"/>
      <x:c r="C93" s="46"/>
      <x:c r="D93" s="46"/>
      <x:c r="E93" s="46"/>
      <x:c r="F93" s="46"/>
      <x:c r="G93" s="46"/>
      <x:c r="H93" s="53"/>
      <x:c r="I93" s="46"/>
      <x:c r="J93" s="46"/>
      <x:c r="K93" s="46"/>
      <x:c r="L93" s="46"/>
      <x:c r="M93" s="46"/>
    </x:row>
    <x:row r="94">
      <x:c r="A94" s="46"/>
      <x:c r="B94" s="46"/>
      <x:c r="C94" s="46"/>
      <x:c r="D94" s="46"/>
      <x:c r="E94" s="46"/>
      <x:c r="F94" s="46"/>
      <x:c r="G94" s="46"/>
      <x:c r="H94" s="53"/>
      <x:c r="I94" s="46"/>
      <x:c r="J94" s="46"/>
      <x:c r="K94" s="46"/>
      <x:c r="L94" s="46"/>
      <x:c r="M94" s="46"/>
    </x:row>
    <x:row r="95">
      <x:c r="A95" s="46"/>
      <x:c r="B95" s="46"/>
      <x:c r="C95" s="46"/>
      <x:c r="D95" s="46"/>
      <x:c r="E95" s="46"/>
      <x:c r="F95" s="46"/>
      <x:c r="G95" s="46"/>
      <x:c r="H95" s="53"/>
      <x:c r="I95" s="46"/>
      <x:c r="J95" s="46"/>
      <x:c r="K95" s="46"/>
      <x:c r="L95" s="46"/>
      <x:c r="M95" s="46"/>
    </x:row>
    <x:row r="96">
      <x:c r="A96" s="46"/>
      <x:c r="B96" s="46"/>
      <x:c r="C96" s="46"/>
      <x:c r="D96" s="46"/>
      <x:c r="E96" s="46"/>
      <x:c r="F96" s="46"/>
      <x:c r="G96" s="46"/>
      <x:c r="H96" s="53"/>
      <x:c r="I96" s="46"/>
      <x:c r="J96" s="46"/>
      <x:c r="K96" s="46"/>
      <x:c r="L96" s="46"/>
      <x:c r="M96" s="46"/>
    </x:row>
    <x:row r="97">
      <x:c r="A97" s="46"/>
      <x:c r="B97" s="46"/>
      <x:c r="C97" s="46"/>
      <x:c r="D97" s="46"/>
      <x:c r="E97" s="46"/>
      <x:c r="F97" s="46"/>
      <x:c r="G97" s="46"/>
      <x:c r="H97" s="53"/>
      <x:c r="I97" s="46"/>
      <x:c r="J97" s="46"/>
      <x:c r="K97" s="46"/>
      <x:c r="L97" s="46"/>
      <x:c r="M97" s="46"/>
    </x:row>
    <x:row r="98">
      <x:c r="A98" s="46"/>
      <x:c r="B98" s="46"/>
      <x:c r="C98" s="46"/>
      <x:c r="D98" s="46"/>
      <x:c r="E98" s="46"/>
      <x:c r="F98" s="46"/>
      <x:c r="G98" s="46"/>
      <x:c r="H98" s="53"/>
      <x:c r="I98" s="46"/>
      <x:c r="J98" s="46"/>
      <x:c r="K98" s="46"/>
      <x:c r="L98" s="46"/>
      <x:c r="M98" s="46"/>
    </x:row>
    <x:row r="99">
      <x:c r="A99" s="46"/>
      <x:c r="B99" s="46"/>
      <x:c r="C99" s="46"/>
      <x:c r="D99" s="46"/>
      <x:c r="E99" s="46"/>
      <x:c r="F99" s="46"/>
      <x:c r="G99" s="46"/>
      <x:c r="H99" s="53"/>
      <x:c r="I99" s="46"/>
      <x:c r="J99" s="46"/>
      <x:c r="K99" s="46"/>
      <x:c r="L99" s="46"/>
      <x:c r="M99" s="46"/>
    </x:row>
    <x:row r="100">
      <x:c r="A100" s="46"/>
      <x:c r="B100" s="46"/>
      <x:c r="C100" s="46"/>
      <x:c r="D100" s="46"/>
      <x:c r="E100" s="46"/>
      <x:c r="F100" s="46"/>
      <x:c r="G100" s="46"/>
      <x:c r="H100" s="53"/>
      <x:c r="I100" s="46"/>
      <x:c r="J100" s="46"/>
      <x:c r="K100" s="46"/>
      <x:c r="L100" s="46"/>
      <x:c r="M100" s="46"/>
    </x:row>
  </x:sheetData>
  <x:mergeCells>
    <x:mergeCell ref="A1:M1"/>
  </x:mergeCells>
  <x:dataValidations count="2">
    <x:dataValidation type="list" sqref="I4:I34">
      <x:formula1>"low,medium,high,critical"</x:formula1>
    </x:dataValidation>
    <x:dataValidation type="list" sqref="J4:J34">
      <x:formula1>"running,stopped,under_maintenance,inactive,decommissioned"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4e5b1dc24244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6" hidden="0" customWidth="1"/>
    <x:col min="3" max="3" width="4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  <x:col min="15" max="15" width="28" hidden="0" customWidth="1"/>
    <x:col min="16" max="16" width="30" hidden="0" customWidth="1"/>
    <x:col min="17" max="17" width="30" hidden="0" customWidth="1"/>
    <x:col min="18" max="18" width="15" hidden="0" customWidth="1"/>
    <x:col min="19" max="19" width="15" hidden="0" customWidth="1"/>
  </x:cols>
  <x:sheetData>
    <x:row r="1" ht="28" customHeight="1">
      <x:c r="A1" s="45" t="str">
        <x:v>Preventive Maintenance Plans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</x:row>
    <x:row r="3" ht="32" customHeight="1">
      <x:c r="A3" s="39" t="str">
        <x:v>plan_code</x:v>
      </x:c>
      <x:c r="B3" s="39" t="str">
        <x:v>title</x:v>
      </x:c>
      <x:c r="C3" s="39" t="str">
        <x:v>task_description</x:v>
      </x:c>
      <x:c r="D3" s="39" t="str">
        <x:v>responsible_type</x:v>
      </x:c>
      <x:c r="E3" s="39" t="str">
        <x:v>frequency_value</x:v>
      </x:c>
      <x:c r="F3" s="39" t="str">
        <x:v>frequency_unit</x:v>
      </x:c>
      <x:c r="G3" s="39" t="str">
        <x:v>planned_duration_minutes</x:v>
      </x:c>
      <x:c r="H3" s="39" t="str">
        <x:v>required_skill_code</x:v>
      </x:c>
      <x:c r="I3" s="39" t="str">
        <x:v>shutdown_required</x:v>
      </x:c>
      <x:c r="J3" s="39" t="str">
        <x:v>criticality</x:v>
      </x:c>
      <x:c r="K3" s="39" t="str">
        <x:v>first_due_date</x:v>
      </x:c>
      <x:c r="L3" s="39" t="str">
        <x:v>original_anchor_date</x:v>
      </x:c>
      <x:c r="M3" s="39" t="str">
        <x:v>instructions</x:v>
      </x:c>
      <x:c r="N3" s="39" t="str">
        <x:v>required_parts_text</x:v>
      </x:c>
      <x:c r="O3" s="39" t="str">
        <x:v>notes</x:v>
      </x:c>
      <x:c r="P3" s="39" t="str">
        <x:v>source_file</x:v>
      </x:c>
      <x:c r="Q3" s="39" t="str">
        <x:v>source_sheet</x:v>
      </x:c>
      <x:c r="R3" s="39" t="str">
        <x:v>source_row</x:v>
      </x:c>
      <x:c r="S3" s="39" t="str">
        <x:v>active</x:v>
      </x:c>
    </x:row>
    <x:row r="4">
      <x:c r="A4" s="46" t="str">
        <x:v>PM-00001</x:v>
      </x:c>
      <x:c r="B4" s="46" t="str">
        <x:v>ניקוי מכונה</x:v>
      </x:c>
      <x:c r="C4" s="46" t="str">
        <x:v>ניקוי מכונה</x:v>
      </x:c>
      <x:c r="D4" s="46" t="str">
        <x:v>operator_monitoring</x:v>
      </x:c>
      <x:c r="E4" s="46" t="n">
        <x:v>1</x:v>
      </x:c>
      <x:c r="F4" s="46" t="str">
        <x:v>day</x:v>
      </x:c>
      <x:c r="G4" s="46" t="n">
        <x:v>10</x:v>
      </x:c>
      <x:c r="H4" s="46" t="str"/>
      <x:c r="I4" s="47" t="b">
        <x:v>0</x:v>
      </x:c>
      <x:c r="J4" s="46" t="str">
        <x:v>medium</x:v>
      </x:c>
      <x:c r="K4" s="53" t="str"/>
      <x:c r="L4" s="53" t="str"/>
      <x:c r="M4" s="46" t="str"/>
      <x:c r="N4" s="46" t="str"/>
      <x:c r="O4" s="46" t="str"/>
      <x:c r="P4" s="46" t="str">
        <x:v>אחזקה מונעת - כבישה.xlsx</x:v>
      </x:c>
      <x:c r="Q4" s="46" t="str">
        <x:v>מספיים לחיתוך דיסקה</x:v>
      </x:c>
      <x:c r="R4" s="46" t="n">
        <x:v>3</x:v>
      </x:c>
      <x:c r="S4" s="47" t="b">
        <x:v>1</x:v>
      </x:c>
    </x:row>
    <x:row r="5">
      <x:c r="A5" s="46" t="str">
        <x:v>PM-00002</x:v>
      </x:c>
      <x:c r="B5" s="46" t="str">
        <x:v>ניקוי מעלית מספריים מגופים זרים בתחתית</x:v>
      </x:c>
      <x:c r="C5" s="46" t="str">
        <x:v>ניקוי מעלית מספריים מגופים זרים בתחתית</x:v>
      </x:c>
      <x:c r="D5" s="46" t="str">
        <x:v>operator_monitoring</x:v>
      </x:c>
      <x:c r="E5" s="46" t="n">
        <x:v>1</x:v>
      </x:c>
      <x:c r="F5" s="46" t="str">
        <x:v>day</x:v>
      </x:c>
      <x:c r="G5" s="46" t="n">
        <x:v>10</x:v>
      </x:c>
      <x:c r="H5" s="46" t="str"/>
      <x:c r="I5" s="47" t="b">
        <x:v>0</x:v>
      </x:c>
      <x:c r="J5" s="46" t="str">
        <x:v>medium</x:v>
      </x:c>
      <x:c r="K5" s="53" t="str"/>
      <x:c r="L5" s="53" t="str"/>
      <x:c r="M5" s="46" t="str"/>
      <x:c r="N5" s="46" t="str"/>
      <x:c r="O5" s="46" t="str"/>
      <x:c r="P5" s="46" t="str">
        <x:v>אחזקה מונעת - כבישה.xlsx</x:v>
      </x:c>
      <x:c r="Q5" s="46" t="str">
        <x:v>מספיים לחיתוך דיסקה</x:v>
      </x:c>
      <x:c r="R5" s="46" t="n">
        <x:v>4</x:v>
      </x:c>
      <x:c r="S5" s="47" t="b">
        <x:v>1</x:v>
      </x:c>
    </x:row>
    <x:row r="6">
      <x:c r="A6" s="46" t="str">
        <x:v>PM-00003</x:v>
      </x:c>
      <x:c r="B6" s="46" t="str">
        <x:v>גירוז פיטמות</x:v>
      </x:c>
      <x:c r="C6" s="46" t="str">
        <x:v>גירוז פיטמות</x:v>
      </x:c>
      <x:c r="D6" s="46" t="str">
        <x:v>operator_monitoring</x:v>
      </x:c>
      <x:c r="E6" s="46" t="n">
        <x:v>1</x:v>
      </x:c>
      <x:c r="F6" s="46" t="str">
        <x:v>week</x:v>
      </x:c>
      <x:c r="G6" s="46" t="n">
        <x:v>5</x:v>
      </x:c>
      <x:c r="H6" s="46" t="str"/>
      <x:c r="I6" s="47" t="b">
        <x:v>0</x:v>
      </x:c>
      <x:c r="J6" s="46" t="str">
        <x:v>medium</x:v>
      </x:c>
      <x:c r="K6" s="53" t="str"/>
      <x:c r="L6" s="53" t="str"/>
      <x:c r="M6" s="46" t="str"/>
      <x:c r="N6" s="46" t="str">
        <x:v>גריז</x:v>
      </x:c>
      <x:c r="O6" s="46" t="str"/>
      <x:c r="P6" s="46" t="str">
        <x:v>אחזקה מונעת - כבישה.xlsx</x:v>
      </x:c>
      <x:c r="Q6" s="46" t="str">
        <x:v>מספיים לחיתוך דיסקה</x:v>
      </x:c>
      <x:c r="R6" s="46" t="n">
        <x:v>5</x:v>
      </x:c>
      <x:c r="S6" s="47" t="b">
        <x:v>1</x:v>
      </x:c>
    </x:row>
    <x:row r="7">
      <x:c r="A7" s="46" t="str">
        <x:v>PM-00004</x:v>
      </x:c>
      <x:c r="B7" s="46" t="str">
        <x:v>בדיקת סכינים לתקינות</x:v>
      </x:c>
      <x:c r="C7" s="46" t="str">
        <x:v>בדיקת סכינים לתקינות</x:v>
      </x:c>
      <x:c r="D7" s="46" t="str">
        <x:v>operator_monitoring</x:v>
      </x:c>
      <x:c r="E7" s="46" t="n">
        <x:v>1</x:v>
      </x:c>
      <x:c r="F7" s="46" t="str">
        <x:v>week</x:v>
      </x:c>
      <x:c r="G7" s="46" t="n">
        <x:v>5</x:v>
      </x:c>
      <x:c r="H7" s="46" t="str"/>
      <x:c r="I7" s="47" t="b">
        <x:v>0</x:v>
      </x:c>
      <x:c r="J7" s="46" t="str">
        <x:v>medium</x:v>
      </x:c>
      <x:c r="K7" s="53" t="str"/>
      <x:c r="L7" s="53" t="str"/>
      <x:c r="M7" s="46" t="str"/>
      <x:c r="N7" s="46" t="str"/>
      <x:c r="O7" s="46" t="str"/>
      <x:c r="P7" s="46" t="str">
        <x:v>אחזקה מונעת - כבישה.xlsx</x:v>
      </x:c>
      <x:c r="Q7" s="46" t="str">
        <x:v>מספיים לחיתוך דיסקה</x:v>
      </x:c>
      <x:c r="R7" s="46" t="n">
        <x:v>6</x:v>
      </x:c>
      <x:c r="S7" s="47" t="b">
        <x:v>1</x:v>
      </x:c>
    </x:row>
    <x:row r="8">
      <x:c r="A8" s="46" t="str">
        <x:v>PM-00005</x:v>
      </x:c>
      <x:c r="B8" s="46" t="str">
        <x:v>בדיקה ויזואלית לתקינות המנגנון</x:v>
      </x:c>
      <x:c r="C8" s="46" t="str">
        <x:v>בדיקה ויזואלית לתקינות המנגנון</x:v>
      </x:c>
      <x:c r="D8" s="46" t="str">
        <x:v>maintenance</x:v>
      </x:c>
      <x:c r="E8" s="46" t="n">
        <x:v>1</x:v>
      </x:c>
      <x:c r="F8" s="46" t="str">
        <x:v>week</x:v>
      </x:c>
      <x:c r="G8" s="46" t="n">
        <x:v>10</x:v>
      </x:c>
      <x:c r="H8" s="46" t="str"/>
      <x:c r="I8" s="47" t="b">
        <x:v>0</x:v>
      </x:c>
      <x:c r="J8" s="46" t="str">
        <x:v>medium</x:v>
      </x:c>
      <x:c r="K8" s="53" t="str"/>
      <x:c r="L8" s="53" t="str"/>
      <x:c r="M8" s="46" t="str"/>
      <x:c r="N8" s="46" t="str"/>
      <x:c r="O8" s="46" t="str"/>
      <x:c r="P8" s="46" t="str">
        <x:v>אחזקה מונעת - כבישה.xlsx</x:v>
      </x:c>
      <x:c r="Q8" s="46" t="str">
        <x:v>מספיים לחיתוך דיסקה</x:v>
      </x:c>
      <x:c r="R8" s="46" t="n">
        <x:v>7</x:v>
      </x:c>
      <x:c r="S8" s="47" t="b">
        <x:v>1</x:v>
      </x:c>
    </x:row>
    <x:row r="9">
      <x:c r="A9" s="46" t="str">
        <x:v>PM-00006</x:v>
      </x:c>
      <x:c r="B9" s="46" t="str">
        <x:v>בדיקת וטיפול בנזילות אויר (צילינדר פנאומטי)</x:v>
      </x:c>
      <x:c r="C9" s="46" t="str">
        <x:v>בדיקת וטיפול בנזילות אויר (צילינדר פנאומטי)</x:v>
      </x:c>
      <x:c r="D9" s="46" t="str">
        <x:v>maintenance</x:v>
      </x:c>
      <x:c r="E9" s="46" t="n">
        <x:v>1</x:v>
      </x:c>
      <x:c r="F9" s="46" t="str">
        <x:v>month</x:v>
      </x:c>
      <x:c r="G9" s="46" t="n">
        <x:v>20</x:v>
      </x:c>
      <x:c r="H9" s="46" t="str"/>
      <x:c r="I9" s="47" t="b">
        <x:v>0</x:v>
      </x:c>
      <x:c r="J9" s="46" t="str">
        <x:v>medium</x:v>
      </x:c>
      <x:c r="K9" s="53" t="str"/>
      <x:c r="L9" s="53" t="str"/>
      <x:c r="M9" s="46" t="str"/>
      <x:c r="N9" s="46" t="str"/>
      <x:c r="O9" s="46" t="str"/>
      <x:c r="P9" s="46" t="str">
        <x:v>אחזקה מונעת - כבישה.xlsx</x:v>
      </x:c>
      <x:c r="Q9" s="46" t="str">
        <x:v>מספיים לחיתוך דיסקה</x:v>
      </x:c>
      <x:c r="R9" s="46" t="n">
        <x:v>8</x:v>
      </x:c>
      <x:c r="S9" s="47" t="b">
        <x:v>1</x:v>
      </x:c>
    </x:row>
    <x:row r="10">
      <x:c r="A10" s="46" t="str">
        <x:v>PM-00007</x:v>
      </x:c>
      <x:c r="B10" s="46" t="str">
        <x:v>בדיקה והחלפת סכינים לפי צורך</x:v>
      </x:c>
      <x:c r="C10" s="46" t="str">
        <x:v>בדיקה והחלפת סכינים לפי צורך</x:v>
      </x:c>
      <x:c r="D10" s="46" t="str">
        <x:v>maintenance</x:v>
      </x:c>
      <x:c r="E10" s="46" t="n">
        <x:v>1</x:v>
      </x:c>
      <x:c r="F10" s="46" t="str">
        <x:v>month</x:v>
      </x:c>
      <x:c r="G10" s="46" t="n">
        <x:v>120</x:v>
      </x:c>
      <x:c r="H10" s="46" t="str"/>
      <x:c r="I10" s="47" t="b">
        <x:v>0</x:v>
      </x:c>
      <x:c r="J10" s="46" t="str">
        <x:v>medium</x:v>
      </x:c>
      <x:c r="K10" s="53" t="str"/>
      <x:c r="L10" s="53" t="str"/>
      <x:c r="M10" s="46" t="str"/>
      <x:c r="N10" s="46" t="str"/>
      <x:c r="O10" s="46" t="str"/>
      <x:c r="P10" s="46" t="str">
        <x:v>אחזקה מונעת - כבישה.xlsx</x:v>
      </x:c>
      <x:c r="Q10" s="46" t="str">
        <x:v>מספיים לחיתוך דיסקה</x:v>
      </x:c>
      <x:c r="R10" s="46" t="n">
        <x:v>9</x:v>
      </x:c>
      <x:c r="S10" s="47" t="b">
        <x:v>1</x:v>
      </x:c>
    </x:row>
    <x:row r="11">
      <x:c r="A11" s="46" t="str">
        <x:v>PM-00008</x:v>
      </x:c>
      <x:c r="B11" s="46" t="str">
        <x:v>בדיקת תקינות ונזילות שמן במעלית מספריים</x:v>
      </x:c>
      <x:c r="C11" s="46" t="str">
        <x:v>בדיקת תקינות ונזילות שמן במעלית מספריים</x:v>
      </x:c>
      <x:c r="D11" s="46" t="str">
        <x:v>maintenance</x:v>
      </x:c>
      <x:c r="E11" s="46" t="n">
        <x:v>1</x:v>
      </x:c>
      <x:c r="F11" s="46" t="str">
        <x:v>month</x:v>
      </x:c>
      <x:c r="G11" s="46" t="n">
        <x:v>20</x:v>
      </x:c>
      <x:c r="H11" s="46" t="str"/>
      <x:c r="I11" s="47" t="b">
        <x:v>0</x:v>
      </x:c>
      <x:c r="J11" s="46" t="str">
        <x:v>medium</x:v>
      </x:c>
      <x:c r="K11" s="53" t="str"/>
      <x:c r="L11" s="53" t="str"/>
      <x:c r="M11" s="46" t="str"/>
      <x:c r="N11" s="46" t="str"/>
      <x:c r="O11" s="46" t="str"/>
      <x:c r="P11" s="46" t="str">
        <x:v>אחזקה מונעת - כבישה.xlsx</x:v>
      </x:c>
      <x:c r="Q11" s="46" t="str">
        <x:v>מספיים לחיתוך דיסקה</x:v>
      </x:c>
      <x:c r="R11" s="46" t="n">
        <x:v>10</x:v>
      </x:c>
      <x:c r="S11" s="47" t="b">
        <x:v>1</x:v>
      </x:c>
    </x:row>
    <x:row r="12">
      <x:c r="A12" s="46" t="str">
        <x:v>PM-00009</x:v>
      </x:c>
      <x:c r="B12" s="46" t="str">
        <x:v>בדיקת לחצנים לתקינות</x:v>
      </x:c>
      <x:c r="C12" s="46" t="str">
        <x:v>בדיקת לחצנים לתקינות</x:v>
      </x:c>
      <x:c r="D12" s="46" t="str">
        <x:v>maintenance</x:v>
      </x:c>
      <x:c r="E12" s="46" t="n">
        <x:v>1</x:v>
      </x:c>
      <x:c r="F12" s="46" t="str">
        <x:v>week</x:v>
      </x:c>
      <x:c r="G12" s="46" t="n">
        <x:v>10</x:v>
      </x:c>
      <x:c r="H12" s="46" t="str"/>
      <x:c r="I12" s="47" t="b">
        <x:v>0</x:v>
      </x:c>
      <x:c r="J12" s="46" t="str">
        <x:v>medium</x:v>
      </x:c>
      <x:c r="K12" s="53" t="str"/>
      <x:c r="L12" s="53" t="str"/>
      <x:c r="M12" s="46" t="str"/>
      <x:c r="N12" s="46" t="str"/>
      <x:c r="O12" s="46" t="str"/>
      <x:c r="P12" s="46" t="str">
        <x:v>אחזקה מונעת - כבישה.xlsx</x:v>
      </x:c>
      <x:c r="Q12" s="46" t="str">
        <x:v>מספיים לחיתוך דיסקה</x:v>
      </x:c>
      <x:c r="R12" s="46" t="n">
        <x:v>11</x:v>
      </x:c>
      <x:c r="S12" s="47" t="b">
        <x:v>1</x:v>
      </x:c>
    </x:row>
    <x:row r="13">
      <x:c r="A13" s="46" t="str">
        <x:v>PM-00010</x:v>
      </x:c>
      <x:c r="B13" s="46" t="str">
        <x:v>בדיקת אביזרי חשמל לתקינות (כולל כבלים ומחברים)</x:v>
      </x:c>
      <x:c r="C13" s="46" t="str">
        <x:v>בדיקת אביזרי חשמל לתקינות (כולל כבלים ומחברים)</x:v>
      </x:c>
      <x:c r="D13" s="46" t="str">
        <x:v>maintenance</x:v>
      </x:c>
      <x:c r="E13" s="46" t="n">
        <x:v>1</x:v>
      </x:c>
      <x:c r="F13" s="46" t="str">
        <x:v>month</x:v>
      </x:c>
      <x:c r="G13" s="46" t="n">
        <x:v>20</x:v>
      </x:c>
      <x:c r="H13" s="46" t="str"/>
      <x:c r="I13" s="47" t="b">
        <x:v>0</x:v>
      </x:c>
      <x:c r="J13" s="46" t="str">
        <x:v>medium</x:v>
      </x:c>
      <x:c r="K13" s="53" t="str"/>
      <x:c r="L13" s="53" t="str"/>
      <x:c r="M13" s="46" t="str"/>
      <x:c r="N13" s="46" t="str"/>
      <x:c r="O13" s="46" t="str"/>
      <x:c r="P13" s="46" t="str">
        <x:v>אחזקה מונעת - כבישה.xlsx</x:v>
      </x:c>
      <x:c r="Q13" s="46" t="str">
        <x:v>מספיים לחיתוך דיסקה</x:v>
      </x:c>
      <x:c r="R13" s="46" t="n">
        <x:v>12</x:v>
      </x:c>
      <x:c r="S13" s="47" t="b">
        <x:v>1</x:v>
      </x:c>
    </x:row>
    <x:row r="14">
      <x:c r="A14" s="46" t="str">
        <x:v>PM-00011</x:v>
      </x:c>
      <x:c r="B14" s="46" t="str">
        <x:v>בדיקה וניקוי ארון חשמל בלחץ אויר</x:v>
      </x:c>
      <x:c r="C14" s="46" t="str">
        <x:v>בדיקה וניקוי ארון חשמל בלחץ אויר</x:v>
      </x:c>
      <x:c r="D14" s="46" t="str">
        <x:v>maintenance</x:v>
      </x:c>
      <x:c r="E14" s="46" t="n">
        <x:v>1</x:v>
      </x:c>
      <x:c r="F14" s="46" t="str">
        <x:v>year</x:v>
      </x:c>
      <x:c r="G14" s="46" t="n">
        <x:v>20</x:v>
      </x:c>
      <x:c r="H14" s="46" t="str"/>
      <x:c r="I14" s="47" t="b">
        <x:v>0</x:v>
      </x:c>
      <x:c r="J14" s="46" t="str">
        <x:v>medium</x:v>
      </x:c>
      <x:c r="K14" s="53" t="str"/>
      <x:c r="L14" s="53" t="str"/>
      <x:c r="M14" s="46" t="str"/>
      <x:c r="N14" s="46" t="str"/>
      <x:c r="O14" s="46" t="str"/>
      <x:c r="P14" s="46" t="str">
        <x:v>אחזקה מונעת - כבישה.xlsx</x:v>
      </x:c>
      <x:c r="Q14" s="46" t="str">
        <x:v>מספיים לחיתוך דיסקה</x:v>
      </x:c>
      <x:c r="R14" s="46" t="n">
        <x:v>13</x:v>
      </x:c>
      <x:c r="S14" s="47" t="b">
        <x:v>1</x:v>
      </x:c>
    </x:row>
    <x:row r="15">
      <x:c r="A15" s="46" t="str">
        <x:v>PM-00012</x:v>
      </x:c>
      <x:c r="B15" s="46" t="str">
        <x:v>ניקוי מכונה</x:v>
      </x:c>
      <x:c r="C15" s="46" t="str">
        <x:v>ניקוי מכונה</x:v>
      </x:c>
      <x:c r="D15" s="46" t="str">
        <x:v>operator_monitoring</x:v>
      </x:c>
      <x:c r="E15" s="46" t="n">
        <x:v>1</x:v>
      </x:c>
      <x:c r="F15" s="46" t="str">
        <x:v>day</x:v>
      </x:c>
      <x:c r="G15" s="46" t="n">
        <x:v>15</x:v>
      </x:c>
      <x:c r="H15" s="46" t="str"/>
      <x:c r="I15" s="47" t="b">
        <x:v>0</x:v>
      </x:c>
      <x:c r="J15" s="46" t="str">
        <x:v>medium</x:v>
      </x:c>
      <x:c r="K15" s="53" t="str"/>
      <x:c r="L15" s="53" t="str"/>
      <x:c r="M15" s="46" t="str"/>
      <x:c r="N15" s="46" t="str"/>
      <x:c r="O15" s="46" t="str"/>
      <x:c r="P15" s="46" t="str">
        <x:v>אחזקה מונעת - כבישה.xlsx</x:v>
      </x:c>
      <x:c r="Q15" s="46" t="str">
        <x:v>מכבש הידראולי 500 טון</x:v>
      </x:c>
      <x:c r="R15" s="46" t="n">
        <x:v>14</x:v>
      </x:c>
      <x:c r="S15" s="47" t="b">
        <x:v>1</x:v>
      </x:c>
    </x:row>
    <x:row r="16">
      <x:c r="A16" s="46" t="str">
        <x:v>PM-00013</x:v>
      </x:c>
      <x:c r="B16" s="46" t="str">
        <x:v>ניקוי מעלית מספריים מגופים זרים בתחתית</x:v>
      </x:c>
      <x:c r="C16" s="46" t="str">
        <x:v>ניקוי מעלית מספריים מגופים זרים בתחתית</x:v>
      </x:c>
      <x:c r="D16" s="46" t="str">
        <x:v>operator_monitoring</x:v>
      </x:c>
      <x:c r="E16" s="46" t="n">
        <x:v>1</x:v>
      </x:c>
      <x:c r="F16" s="46" t="str">
        <x:v>day</x:v>
      </x:c>
      <x:c r="G16" s="46" t="n">
        <x:v>10</x:v>
      </x:c>
      <x:c r="H16" s="46" t="str"/>
      <x:c r="I16" s="47" t="b">
        <x:v>0</x:v>
      </x:c>
      <x:c r="J16" s="46" t="str">
        <x:v>medium</x:v>
      </x:c>
      <x:c r="K16" s="53" t="str"/>
      <x:c r="L16" s="53" t="str"/>
      <x:c r="M16" s="46" t="str"/>
      <x:c r="N16" s="46" t="str"/>
      <x:c r="O16" s="46" t="str"/>
      <x:c r="P16" s="46" t="str">
        <x:v>אחזקה מונעת - כבישה.xlsx</x:v>
      </x:c>
      <x:c r="Q16" s="46" t="str">
        <x:v>מכבש הידראולי 500 טון</x:v>
      </x:c>
      <x:c r="R16" s="46" t="n">
        <x:v>15</x:v>
      </x:c>
      <x:c r="S16" s="47" t="b">
        <x:v>1</x:v>
      </x:c>
    </x:row>
    <x:row r="17">
      <x:c r="A17" s="46" t="str">
        <x:v>PM-00014</x:v>
      </x:c>
      <x:c r="B17" s="46" t="str">
        <x:v>ניקוי עניים פוטואלקטיר (גדר בטיחות) עם מטלית יבשה</x:v>
      </x:c>
      <x:c r="C17" s="46" t="str">
        <x:v>ניקוי עניים פוטואלקטיר (גדר בטיחות) עם מטלית יבשה</x:v>
      </x:c>
      <x:c r="D17" s="46" t="str">
        <x:v>operator_monitoring</x:v>
      </x:c>
      <x:c r="E17" s="46" t="n">
        <x:v>1</x:v>
      </x:c>
      <x:c r="F17" s="46" t="str">
        <x:v>day</x:v>
      </x:c>
      <x:c r="G17" s="46" t="n">
        <x:v>10</x:v>
      </x:c>
      <x:c r="H17" s="46" t="str"/>
      <x:c r="I17" s="47" t="b">
        <x:v>0</x:v>
      </x:c>
      <x:c r="J17" s="46" t="str">
        <x:v>medium</x:v>
      </x:c>
      <x:c r="K17" s="53" t="str"/>
      <x:c r="L17" s="53" t="str"/>
      <x:c r="M17" s="46" t="str"/>
      <x:c r="N17" s="46" t="str"/>
      <x:c r="O17" s="46" t="str"/>
      <x:c r="P17" s="46" t="str">
        <x:v>אחזקה מונעת - כבישה.xlsx</x:v>
      </x:c>
      <x:c r="Q17" s="46" t="str">
        <x:v>מכבש הידראולי 500 טון</x:v>
      </x:c>
      <x:c r="R17" s="46" t="n">
        <x:v>16</x:v>
      </x:c>
      <x:c r="S17" s="47" t="b">
        <x:v>1</x:v>
      </x:c>
    </x:row>
    <x:row r="18">
      <x:c r="A18" s="46" t="str">
        <x:v>PM-00015</x:v>
      </x:c>
      <x:c r="B18" s="46" t="str">
        <x:v>בדיקה ומילוי גריז לפי הצורך במכשיר גירוז אוטומטי</x:v>
      </x:c>
      <x:c r="C18" s="46" t="str">
        <x:v>בדיקה ומילוי גריז לפי הצורך במכשיר גירוז אוטומטי</x:v>
      </x:c>
      <x:c r="D18" s="46" t="str">
        <x:v>operator_monitoring</x:v>
      </x:c>
      <x:c r="E18" s="46" t="n">
        <x:v>1</x:v>
      </x:c>
      <x:c r="F18" s="46" t="str">
        <x:v>week</x:v>
      </x:c>
      <x:c r="G18" s="46" t="n">
        <x:v>20</x:v>
      </x:c>
      <x:c r="H18" s="46" t="str"/>
      <x:c r="I18" s="47" t="b">
        <x:v>0</x:v>
      </x:c>
      <x:c r="J18" s="46" t="str">
        <x:v>medium</x:v>
      </x:c>
      <x:c r="K18" s="53" t="str"/>
      <x:c r="L18" s="53" t="str"/>
      <x:c r="M18" s="46" t="str"/>
      <x:c r="N18" s="46" t="str">
        <x:v>גריז</x:v>
      </x:c>
      <x:c r="O18" s="46" t="str"/>
      <x:c r="P18" s="46" t="str">
        <x:v>אחזקה מונעת - כבישה.xlsx</x:v>
      </x:c>
      <x:c r="Q18" s="46" t="str">
        <x:v>מכבש הידראולי 500 טון</x:v>
      </x:c>
      <x:c r="R18" s="46" t="n">
        <x:v>17</x:v>
      </x:c>
      <x:c r="S18" s="47" t="b">
        <x:v>1</x:v>
      </x:c>
    </x:row>
    <x:row r="19">
      <x:c r="A19" s="46" t="str">
        <x:v>PM-00016</x:v>
      </x:c>
      <x:c r="B19" s="46" t="str">
        <x:v>ניקוי מסילות מגריז הישן וגופים זרים</x:v>
      </x:c>
      <x:c r="C19" s="46" t="str">
        <x:v>ניקוי מסילות מגריז הישן וגופים זרים</x:v>
      </x:c>
      <x:c r="D19" s="46" t="str">
        <x:v>operator_monitoring</x:v>
      </x:c>
      <x:c r="E19" s="46" t="n">
        <x:v>1</x:v>
      </x:c>
      <x:c r="F19" s="46" t="str">
        <x:v>month</x:v>
      </x:c>
      <x:c r="G19" s="46" t="n">
        <x:v>15</x:v>
      </x:c>
      <x:c r="H19" s="46" t="str"/>
      <x:c r="I19" s="47" t="b">
        <x:v>0</x:v>
      </x:c>
      <x:c r="J19" s="46" t="str">
        <x:v>medium</x:v>
      </x:c>
      <x:c r="K19" s="53" t="str"/>
      <x:c r="L19" s="53" t="str"/>
      <x:c r="M19" s="46" t="str"/>
      <x:c r="N19" s="46" t="str"/>
      <x:c r="O19" s="46" t="str"/>
      <x:c r="P19" s="46" t="str">
        <x:v>אחזקה מונעת - כבישה.xlsx</x:v>
      </x:c>
      <x:c r="Q19" s="46" t="str">
        <x:v>מכבש הידראולי 500 טון</x:v>
      </x:c>
      <x:c r="R19" s="46" t="n">
        <x:v>18</x:v>
      </x:c>
      <x:c r="S19" s="47" t="b">
        <x:v>1</x:v>
      </x:c>
    </x:row>
    <x:row r="20">
      <x:c r="A20" s="46" t="str">
        <x:v>PM-00017</x:v>
      </x:c>
      <x:c r="B20" s="46" t="str">
        <x:v>ניקוי בוכנות משמן ובדיקה לנזילה (אם קיימת נזילה יש לדווח לאחזקה)</x:v>
      </x:c>
      <x:c r="C20" s="46" t="str">
        <x:v>ניקוי בוכנות משמן ובדיקה לנזילה (אם קיימת נזילה יש לדווח לאחזקה)</x:v>
      </x:c>
      <x:c r="D20" s="46" t="str">
        <x:v>operator_monitoring</x:v>
      </x:c>
      <x:c r="E20" s="46" t="n">
        <x:v>1</x:v>
      </x:c>
      <x:c r="F20" s="46" t="str">
        <x:v>month</x:v>
      </x:c>
      <x:c r="G20" s="46" t="n">
        <x:v>20</x:v>
      </x:c>
      <x:c r="H20" s="46" t="str"/>
      <x:c r="I20" s="47" t="b">
        <x:v>0</x:v>
      </x:c>
      <x:c r="J20" s="46" t="str">
        <x:v>medium</x:v>
      </x:c>
      <x:c r="K20" s="53" t="str"/>
      <x:c r="L20" s="53" t="str"/>
      <x:c r="M20" s="46" t="str"/>
      <x:c r="N20" s="46" t="str"/>
      <x:c r="O20" s="46" t="str"/>
      <x:c r="P20" s="46" t="str">
        <x:v>אחזקה מונעת - כבישה.xlsx</x:v>
      </x:c>
      <x:c r="Q20" s="46" t="str">
        <x:v>מכבש הידראולי 500 טון</x:v>
      </x:c>
      <x:c r="R20" s="46" t="n">
        <x:v>19</x:v>
      </x:c>
      <x:c r="S20" s="47" t="b">
        <x:v>1</x:v>
      </x:c>
    </x:row>
    <x:row r="21">
      <x:c r="A21" s="46" t="str">
        <x:v>PM-00018</x:v>
      </x:c>
      <x:c r="B21" s="46" t="str">
        <x:v>בדיקת מפלס השמן במיכל (לאוסיף במידה וחסר)</x:v>
      </x:c>
      <x:c r="C21" s="46" t="str">
        <x:v>בדיקת מפלס השמן במיכל (לאוסיף במידה וחסר)</x:v>
      </x:c>
      <x:c r="D21" s="46" t="str">
        <x:v>maintenance</x:v>
      </x:c>
      <x:c r="E21" s="46" t="n">
        <x:v>1</x:v>
      </x:c>
      <x:c r="F21" s="46" t="str">
        <x:v>week</x:v>
      </x:c>
      <x:c r="G21" s="46" t="n">
        <x:v>20</x:v>
      </x:c>
      <x:c r="H21" s="46" t="str"/>
      <x:c r="I21" s="47" t="b">
        <x:v>0</x:v>
      </x:c>
      <x:c r="J21" s="46" t="str">
        <x:v>medium</x:v>
      </x:c>
      <x:c r="K21" s="53" t="str"/>
      <x:c r="L21" s="53" t="str"/>
      <x:c r="M21" s="46" t="str"/>
      <x:c r="N21" s="46" t="str"/>
      <x:c r="O21" s="46" t="str"/>
      <x:c r="P21" s="46" t="str">
        <x:v>אחזקה מונעת - כבישה.xlsx</x:v>
      </x:c>
      <x:c r="Q21" s="46" t="str">
        <x:v>מכבש הידראולי 500 טון</x:v>
      </x:c>
      <x:c r="R21" s="46" t="n">
        <x:v>20</x:v>
      </x:c>
      <x:c r="S21" s="47" t="b">
        <x:v>1</x:v>
      </x:c>
    </x:row>
    <x:row r="22">
      <x:c r="A22" s="46" t="str">
        <x:v>PM-00019</x:v>
      </x:c>
      <x:c r="B22" s="46" t="str">
        <x:v>בדיקה וניקוי מסנן אוויר</x:v>
      </x:c>
      <x:c r="C22" s="46" t="str">
        <x:v>בדיקה וניקוי מסנן אוויר</x:v>
      </x:c>
      <x:c r="D22" s="46" t="str">
        <x:v>maintenance</x:v>
      </x:c>
      <x:c r="E22" s="46" t="n">
        <x:v>1</x:v>
      </x:c>
      <x:c r="F22" s="46" t="str">
        <x:v>week</x:v>
      </x:c>
      <x:c r="G22" s="46" t="n">
        <x:v>30</x:v>
      </x:c>
      <x:c r="H22" s="46" t="str"/>
      <x:c r="I22" s="47" t="b">
        <x:v>0</x:v>
      </x:c>
      <x:c r="J22" s="46" t="str">
        <x:v>medium</x:v>
      </x:c>
      <x:c r="K22" s="53" t="str"/>
      <x:c r="L22" s="53" t="str"/>
      <x:c r="M22" s="46" t="str"/>
      <x:c r="N22" s="46" t="str"/>
      <x:c r="O22" s="46" t="str"/>
      <x:c r="P22" s="46" t="str">
        <x:v>אחזקה מונעת - כבישה.xlsx</x:v>
      </x:c>
      <x:c r="Q22" s="46" t="str">
        <x:v>מכבש הידראולי 500 טון</x:v>
      </x:c>
      <x:c r="R22" s="46" t="n">
        <x:v>21</x:v>
      </x:c>
      <x:c r="S22" s="47" t="b">
        <x:v>1</x:v>
      </x:c>
    </x:row>
    <x:row r="23">
      <x:c r="A23" s="46" t="str">
        <x:v>PM-00020</x:v>
      </x:c>
      <x:c r="B23" s="46" t="str">
        <x:v>בדיקת צינורות גמישים לנזילות</x:v>
      </x:c>
      <x:c r="C23" s="46" t="str">
        <x:v>בדיקת צינורות גמישים לנזילות</x:v>
      </x:c>
      <x:c r="D23" s="46" t="str">
        <x:v>maintenance</x:v>
      </x:c>
      <x:c r="E23" s="46" t="n">
        <x:v>1</x:v>
      </x:c>
      <x:c r="F23" s="46" t="str">
        <x:v>week</x:v>
      </x:c>
      <x:c r="G23" s="46" t="n">
        <x:v>15</x:v>
      </x:c>
      <x:c r="H23" s="46" t="str"/>
      <x:c r="I23" s="47" t="b">
        <x:v>0</x:v>
      </x:c>
      <x:c r="J23" s="46" t="str">
        <x:v>medium</x:v>
      </x:c>
      <x:c r="K23" s="53" t="str"/>
      <x:c r="L23" s="53" t="str"/>
      <x:c r="M23" s="46" t="str"/>
      <x:c r="N23" s="46" t="str"/>
      <x:c r="O23" s="46" t="str"/>
      <x:c r="P23" s="46" t="str">
        <x:v>אחזקה מונעת - כבישה.xlsx</x:v>
      </x:c>
      <x:c r="Q23" s="46" t="str">
        <x:v>מכבש הידראולי 500 טון</x:v>
      </x:c>
      <x:c r="R23" s="46" t="n">
        <x:v>22</x:v>
      </x:c>
      <x:c r="S23" s="47" t="b">
        <x:v>1</x:v>
      </x:c>
    </x:row>
    <x:row r="24">
      <x:c r="A24" s="46" t="str">
        <x:v>PM-00021</x:v>
      </x:c>
      <x:c r="B24" s="46" t="str">
        <x:v>בדיקת משאבות לרעש וללחצים תקינים ע"י שעון לחץ</x:v>
      </x:c>
      <x:c r="C24" s="46" t="str">
        <x:v>בדיקת משאבות לרעש וללחצים תקינים ע"י שעון לחץ</x:v>
      </x:c>
      <x:c r="D24" s="46" t="str">
        <x:v>maintenance</x:v>
      </x:c>
      <x:c r="E24" s="46" t="n">
        <x:v>1</x:v>
      </x:c>
      <x:c r="F24" s="46" t="str">
        <x:v>month</x:v>
      </x:c>
      <x:c r="G24" s="46" t="n">
        <x:v>10</x:v>
      </x:c>
      <x:c r="H24" s="46" t="str"/>
      <x:c r="I24" s="47" t="b">
        <x:v>0</x:v>
      </x:c>
      <x:c r="J24" s="46" t="str">
        <x:v>medium</x:v>
      </x:c>
      <x:c r="K24" s="53" t="str"/>
      <x:c r="L24" s="53" t="str"/>
      <x:c r="M24" s="46" t="str"/>
      <x:c r="N24" s="46" t="str"/>
      <x:c r="O24" s="46" t="str"/>
      <x:c r="P24" s="46" t="str">
        <x:v>אחזקה מונעת - כבישה.xlsx</x:v>
      </x:c>
      <x:c r="Q24" s="46" t="str">
        <x:v>מכבש הידראולי 500 טון</x:v>
      </x:c>
      <x:c r="R24" s="46" t="n">
        <x:v>23</x:v>
      </x:c>
      <x:c r="S24" s="47" t="b">
        <x:v>1</x:v>
      </x:c>
    </x:row>
    <x:row r="25">
      <x:c r="A25" s="46" t="str">
        <x:v>PM-00022</x:v>
      </x:c>
      <x:c r="B25" s="46" t="str">
        <x:v>בדיקת תקינות ונזילות שמן במעלית מיספרום</x:v>
      </x:c>
      <x:c r="C25" s="46" t="str">
        <x:v>בדיקת תקינות ונזילות שמן במעלית מיספרום</x:v>
      </x:c>
      <x:c r="D25" s="46" t="str">
        <x:v>maintenance</x:v>
      </x:c>
      <x:c r="E25" s="46" t="n">
        <x:v>1</x:v>
      </x:c>
      <x:c r="F25" s="46" t="str">
        <x:v>month</x:v>
      </x:c>
      <x:c r="G25" s="46" t="n">
        <x:v>20</x:v>
      </x:c>
      <x:c r="H25" s="46" t="str"/>
      <x:c r="I25" s="47" t="b">
        <x:v>0</x:v>
      </x:c>
      <x:c r="J25" s="46" t="str">
        <x:v>medium</x:v>
      </x:c>
      <x:c r="K25" s="53" t="str"/>
      <x:c r="L25" s="53" t="str"/>
      <x:c r="M25" s="46" t="str"/>
      <x:c r="N25" s="46" t="str"/>
      <x:c r="O25" s="46" t="str"/>
      <x:c r="P25" s="46" t="str">
        <x:v>אחזקה מונעת - כבישה.xlsx</x:v>
      </x:c>
      <x:c r="Q25" s="46" t="str">
        <x:v>מכבש הידראולי 500 טון</x:v>
      </x:c>
      <x:c r="R25" s="46" t="n">
        <x:v>24</x:v>
      </x:c>
      <x:c r="S25" s="47" t="b">
        <x:v>1</x:v>
      </x:c>
    </x:row>
    <x:row r="26">
      <x:c r="A26" s="46" t="str">
        <x:v>PM-00023</x:v>
      </x:c>
      <x:c r="B26" s="46" t="str">
        <x:v>ניקוי מערכת קירור (רדיאטור) ע"י אויר דחוס</x:v>
      </x:c>
      <x:c r="C26" s="46" t="str">
        <x:v>ניקוי מערכת קירור (רדיאטור) ע"י אויר דחוס</x:v>
      </x:c>
      <x:c r="D26" s="46" t="str">
        <x:v>maintenance</x:v>
      </x:c>
      <x:c r="E26" s="46" t="n">
        <x:v>1</x:v>
      </x:c>
      <x:c r="F26" s="46" t="str">
        <x:v>month</x:v>
      </x:c>
      <x:c r="G26" s="46" t="n">
        <x:v>20</x:v>
      </x:c>
      <x:c r="H26" s="46" t="str"/>
      <x:c r="I26" s="47" t="b">
        <x:v>0</x:v>
      </x:c>
      <x:c r="J26" s="46" t="str">
        <x:v>medium</x:v>
      </x:c>
      <x:c r="K26" s="53" t="str"/>
      <x:c r="L26" s="53" t="str"/>
      <x:c r="M26" s="46" t="str"/>
      <x:c r="N26" s="46" t="str"/>
      <x:c r="O26" s="46" t="str"/>
      <x:c r="P26" s="46" t="str">
        <x:v>אחזקה מונעת - כבישה.xlsx</x:v>
      </x:c>
      <x:c r="Q26" s="46" t="str">
        <x:v>מכבש הידראולי 500 טון</x:v>
      </x:c>
      <x:c r="R26" s="46" t="n">
        <x:v>25</x:v>
      </x:c>
      <x:c r="S26" s="47" t="b">
        <x:v>1</x:v>
      </x:c>
    </x:row>
    <x:row r="27">
      <x:c r="A27" s="46" t="str">
        <x:v>PM-00024</x:v>
      </x:c>
      <x:c r="B27" s="46" t="str">
        <x:v>בדיקה ומילוי גריז לפי הצורך במכשיר גירוז אוטומטי</x:v>
      </x:c>
      <x:c r="C27" s="46" t="str">
        <x:v>בדיקה ומילוי גריז לפי הצורך במכשיר גירוז אוטומטי</x:v>
      </x:c>
      <x:c r="D27" s="46" t="str">
        <x:v>maintenance</x:v>
      </x:c>
      <x:c r="E27" s="46" t="n">
        <x:v>1</x:v>
      </x:c>
      <x:c r="F27" s="46" t="str">
        <x:v>month</x:v>
      </x:c>
      <x:c r="G27" s="46" t="n">
        <x:v>20</x:v>
      </x:c>
      <x:c r="H27" s="46" t="str"/>
      <x:c r="I27" s="47" t="b">
        <x:v>0</x:v>
      </x:c>
      <x:c r="J27" s="46" t="str">
        <x:v>medium</x:v>
      </x:c>
      <x:c r="K27" s="53" t="str"/>
      <x:c r="L27" s="53" t="str"/>
      <x:c r="M27" s="46" t="str"/>
      <x:c r="N27" s="46" t="str">
        <x:v>גריז</x:v>
      </x:c>
      <x:c r="O27" s="46" t="str"/>
      <x:c r="P27" s="46" t="str">
        <x:v>אחזקה מונעת - כבישה.xlsx</x:v>
      </x:c>
      <x:c r="Q27" s="46" t="str">
        <x:v>מכבש הידראולי 500 טון</x:v>
      </x:c>
      <x:c r="R27" s="46" t="n">
        <x:v>26</x:v>
      </x:c>
      <x:c r="S27" s="47" t="b">
        <x:v>1</x:v>
      </x:c>
    </x:row>
    <x:row r="28">
      <x:c r="A28" s="46" t="str">
        <x:v>PM-00025</x:v>
      </x:c>
      <x:c r="B28" s="46" t="str">
        <x:v>בדיקת צינורות גירוז לתקינות וסתימות</x:v>
      </x:c>
      <x:c r="C28" s="46" t="str">
        <x:v>בדיקת צינורות גירוז לתקינות וסתימות</x:v>
      </x:c>
      <x:c r="D28" s="46" t="str">
        <x:v>maintenance</x:v>
      </x:c>
      <x:c r="E28" s="46" t="n">
        <x:v>1</x:v>
      </x:c>
      <x:c r="F28" s="46" t="str">
        <x:v>month</x:v>
      </x:c>
      <x:c r="G28" s="46" t="n">
        <x:v>15</x:v>
      </x:c>
      <x:c r="H28" s="46" t="str"/>
      <x:c r="I28" s="47" t="b">
        <x:v>0</x:v>
      </x:c>
      <x:c r="J28" s="46" t="str">
        <x:v>medium</x:v>
      </x:c>
      <x:c r="K28" s="53" t="str"/>
      <x:c r="L28" s="53" t="str"/>
      <x:c r="M28" s="46" t="str"/>
      <x:c r="N28" s="46" t="str"/>
      <x:c r="O28" s="46" t="str"/>
      <x:c r="P28" s="46" t="str">
        <x:v>אחזקה מונעת - כבישה.xlsx</x:v>
      </x:c>
      <x:c r="Q28" s="46" t="str">
        <x:v>מכבש הידראולי 500 טון</x:v>
      </x:c>
      <x:c r="R28" s="46" t="n">
        <x:v>27</x:v>
      </x:c>
      <x:c r="S28" s="47" t="b">
        <x:v>1</x:v>
      </x:c>
    </x:row>
    <x:row r="29">
      <x:c r="A29" s="46" t="str">
        <x:v>PM-00026</x:v>
      </x:c>
      <x:c r="B29" s="46" t="str">
        <x:v>החלפת מסנן שמן</x:v>
      </x:c>
      <x:c r="C29" s="46" t="str">
        <x:v>החלפת מסנן שמן</x:v>
      </x:c>
      <x:c r="D29" s="46" t="str">
        <x:v>maintenance</x:v>
      </x:c>
      <x:c r="E29" s="46" t="n">
        <x:v>1</x:v>
      </x:c>
      <x:c r="F29" s="46" t="str">
        <x:v>half_year</x:v>
      </x:c>
      <x:c r="G29" s="46" t="n">
        <x:v>30</x:v>
      </x:c>
      <x:c r="H29" s="46" t="str"/>
      <x:c r="I29" s="47" t="b">
        <x:v>0</x:v>
      </x:c>
      <x:c r="J29" s="46" t="str">
        <x:v>medium</x:v>
      </x:c>
      <x:c r="K29" s="53" t="str"/>
      <x:c r="L29" s="53" t="str"/>
      <x:c r="M29" s="46" t="str"/>
      <x:c r="N29" s="46" t="str">
        <x:v>פילטר שמן</x:v>
      </x:c>
      <x:c r="O29" s="46" t="str"/>
      <x:c r="P29" s="46" t="str">
        <x:v>אחזקה מונעת - כבישה.xlsx</x:v>
      </x:c>
      <x:c r="Q29" s="46" t="str">
        <x:v>מכבש הידראולי 500 טון</x:v>
      </x:c>
      <x:c r="R29" s="46" t="n">
        <x:v>28</x:v>
      </x:c>
      <x:c r="S29" s="47" t="b">
        <x:v>1</x:v>
      </x:c>
    </x:row>
    <x:row r="30">
      <x:c r="A30" s="46" t="str">
        <x:v>PM-00027</x:v>
      </x:c>
      <x:c r="B30" s="46" t="str">
        <x:v>החלפת מסנן אויר</x:v>
      </x:c>
      <x:c r="C30" s="46" t="str">
        <x:v>החלפת מסנן אויר</x:v>
      </x:c>
      <x:c r="D30" s="46" t="str">
        <x:v>maintenance</x:v>
      </x:c>
      <x:c r="E30" s="46" t="n">
        <x:v>1</x:v>
      </x:c>
      <x:c r="F30" s="46" t="str">
        <x:v>half_year</x:v>
      </x:c>
      <x:c r="G30" s="46" t="n">
        <x:v>15</x:v>
      </x:c>
      <x:c r="H30" s="46" t="str"/>
      <x:c r="I30" s="47" t="b">
        <x:v>0</x:v>
      </x:c>
      <x:c r="J30" s="46" t="str">
        <x:v>medium</x:v>
      </x:c>
      <x:c r="K30" s="53" t="str"/>
      <x:c r="L30" s="53" t="str"/>
      <x:c r="M30" s="46" t="str"/>
      <x:c r="N30" s="46" t="str">
        <x:v>פילטר אויר</x:v>
      </x:c>
      <x:c r="O30" s="46" t="str"/>
      <x:c r="P30" s="46" t="str">
        <x:v>אחזקה מונעת - כבישה.xlsx</x:v>
      </x:c>
      <x:c r="Q30" s="46" t="str">
        <x:v>מכבש הידראולי 500 טון</x:v>
      </x:c>
      <x:c r="R30" s="46" t="n">
        <x:v>29</x:v>
      </x:c>
      <x:c r="S30" s="47" t="b">
        <x:v>1</x:v>
      </x:c>
    </x:row>
    <x:row r="31">
      <x:c r="A31" s="46" t="str">
        <x:v>PM-00028</x:v>
      </x:c>
      <x:c r="B31" s="46" t="str">
        <x:v>החלפת שמן הידראולי וניקוי המיכל</x:v>
      </x:c>
      <x:c r="C31" s="46" t="str">
        <x:v>החלפת שמן הידראולי וניקוי המיכל</x:v>
      </x:c>
      <x:c r="D31" s="46" t="str">
        <x:v>maintenance</x:v>
      </x:c>
      <x:c r="E31" s="46" t="n">
        <x:v>1</x:v>
      </x:c>
      <x:c r="F31" s="46" t="str">
        <x:v>year</x:v>
      </x:c>
      <x:c r="G31" s="46" t="n">
        <x:v>360</x:v>
      </x:c>
      <x:c r="H31" s="46" t="str"/>
      <x:c r="I31" s="47" t="b">
        <x:v>0</x:v>
      </x:c>
      <x:c r="J31" s="46" t="str">
        <x:v>medium</x:v>
      </x:c>
      <x:c r="K31" s="53" t="str"/>
      <x:c r="L31" s="53" t="str"/>
      <x:c r="M31" s="46" t="str"/>
      <x:c r="N31" s="46" t="str">
        <x:v>שמן הידראולי</x:v>
      </x:c>
      <x:c r="O31" s="46" t="str"/>
      <x:c r="P31" s="46" t="str">
        <x:v>אחזקה מונעת - כבישה.xlsx</x:v>
      </x:c>
      <x:c r="Q31" s="46" t="str">
        <x:v>מכבש הידראולי 500 טון</x:v>
      </x:c>
      <x:c r="R31" s="46" t="n">
        <x:v>30</x:v>
      </x:c>
      <x:c r="S31" s="47" t="b">
        <x:v>1</x:v>
      </x:c>
    </x:row>
    <x:row r="32">
      <x:c r="A32" s="46" t="str">
        <x:v>PM-00029</x:v>
      </x:c>
      <x:c r="B32" s="46" t="str">
        <x:v>בדיקת חיישנים ולחצנים</x:v>
      </x:c>
      <x:c r="C32" s="46" t="str">
        <x:v>בדיקת חיישנים ולחצנים</x:v>
      </x:c>
      <x:c r="D32" s="46" t="str">
        <x:v>maintenance</x:v>
      </x:c>
      <x:c r="E32" s="46" t="n">
        <x:v>1</x:v>
      </x:c>
      <x:c r="F32" s="46" t="str">
        <x:v>week</x:v>
      </x:c>
      <x:c r="G32" s="46" t="n">
        <x:v>20</x:v>
      </x:c>
      <x:c r="H32" s="46" t="str"/>
      <x:c r="I32" s="47" t="b">
        <x:v>0</x:v>
      </x:c>
      <x:c r="J32" s="46" t="str">
        <x:v>medium</x:v>
      </x:c>
      <x:c r="K32" s="53" t="str"/>
      <x:c r="L32" s="53" t="str"/>
      <x:c r="M32" s="46" t="str"/>
      <x:c r="N32" s="46" t="str"/>
      <x:c r="O32" s="46" t="str"/>
      <x:c r="P32" s="46" t="str">
        <x:v>אחזקה מונעת - כבישה.xlsx</x:v>
      </x:c>
      <x:c r="Q32" s="46" t="str">
        <x:v>מכבש הידראולי 500 טון</x:v>
      </x:c>
      <x:c r="R32" s="46" t="n">
        <x:v>31</x:v>
      </x:c>
      <x:c r="S32" s="47" t="b">
        <x:v>1</x:v>
      </x:c>
    </x:row>
    <x:row r="33">
      <x:c r="A33" s="46" t="str">
        <x:v>PM-00030</x:v>
      </x:c>
      <x:c r="B33" s="46" t="str">
        <x:v>בדיקת ציוד חשמל לתקינות, כבלים, מחברים, עניים פוטאלקטרים וכו'</x:v>
      </x:c>
      <x:c r="C33" s="46" t="str">
        <x:v>בדיקת ציוד חשמל לתקינות, כבלים, מחברים, עניים פוטאלקטרים וכו'</x:v>
      </x:c>
      <x:c r="D33" s="46" t="str">
        <x:v>maintenance</x:v>
      </x:c>
      <x:c r="E33" s="46" t="n">
        <x:v>1</x:v>
      </x:c>
      <x:c r="F33" s="46" t="str">
        <x:v>month</x:v>
      </x:c>
      <x:c r="G33" s="46" t="n">
        <x:v>30</x:v>
      </x:c>
      <x:c r="H33" s="46" t="str"/>
      <x:c r="I33" s="47" t="b">
        <x:v>0</x:v>
      </x:c>
      <x:c r="J33" s="46" t="str">
        <x:v>medium</x:v>
      </x:c>
      <x:c r="K33" s="53" t="str"/>
      <x:c r="L33" s="53" t="str"/>
      <x:c r="M33" s="46" t="str"/>
      <x:c r="N33" s="46" t="str"/>
      <x:c r="O33" s="46" t="str"/>
      <x:c r="P33" s="46" t="str">
        <x:v>אחזקה מונעת - כבישה.xlsx</x:v>
      </x:c>
      <x:c r="Q33" s="46" t="str">
        <x:v>מכבש הידראולי 500 טון</x:v>
      </x:c>
      <x:c r="R33" s="46" t="n">
        <x:v>32</x:v>
      </x:c>
      <x:c r="S33" s="47" t="b">
        <x:v>1</x:v>
      </x:c>
    </x:row>
    <x:row r="34">
      <x:c r="A34" s="46" t="str">
        <x:v>PM-00031</x:v>
      </x:c>
      <x:c r="B34" s="46" t="str">
        <x:v>ניקוי ארון חשמל מאבק ע"י לחץ אויר</x:v>
      </x:c>
      <x:c r="C34" s="46" t="str">
        <x:v>ניקוי ארון חשמל מאבק ע"י לחץ אויר</x:v>
      </x:c>
      <x:c r="D34" s="46" t="str">
        <x:v>maintenance</x:v>
      </x:c>
      <x:c r="E34" s="46" t="n">
        <x:v>1</x:v>
      </x:c>
      <x:c r="F34" s="46" t="str">
        <x:v>year</x:v>
      </x:c>
      <x:c r="G34" s="46" t="n">
        <x:v>20</x:v>
      </x:c>
      <x:c r="H34" s="46" t="str"/>
      <x:c r="I34" s="47" t="b">
        <x:v>0</x:v>
      </x:c>
      <x:c r="J34" s="46" t="str">
        <x:v>medium</x:v>
      </x:c>
      <x:c r="K34" s="53" t="str"/>
      <x:c r="L34" s="53" t="str"/>
      <x:c r="M34" s="46" t="str"/>
      <x:c r="N34" s="46" t="str"/>
      <x:c r="O34" s="46" t="str">
        <x:v>יש להביא חברה לניתוק מע' כיבוי אש בארון</x:v>
      </x:c>
      <x:c r="P34" s="46" t="str">
        <x:v>אחזקה מונעת - כבישה.xlsx</x:v>
      </x:c>
      <x:c r="Q34" s="46" t="str">
        <x:v>מכבש הידראולי 500 טון</x:v>
      </x:c>
      <x:c r="R34" s="46" t="n">
        <x:v>33</x:v>
      </x:c>
      <x:c r="S34" s="47" t="b">
        <x:v>1</x:v>
      </x:c>
    </x:row>
    <x:row r="35">
      <x:c r="A35" s="46" t="str">
        <x:v>PM-00032</x:v>
      </x:c>
      <x:c r="B35" s="46" t="str">
        <x:v>בדיקת ארון חשמל והידוק ברגים</x:v>
      </x:c>
      <x:c r="C35" s="46" t="str">
        <x:v>בדיקת ארון חשמל והידוק ברגים</x:v>
      </x:c>
      <x:c r="D35" s="46" t="str">
        <x:v>maintenance</x:v>
      </x:c>
      <x:c r="E35" s="46" t="n">
        <x:v>1</x:v>
      </x:c>
      <x:c r="F35" s="46" t="str">
        <x:v>year</x:v>
      </x:c>
      <x:c r="G35" s="46" t="n">
        <x:v>60</x:v>
      </x:c>
      <x:c r="H35" s="46" t="str"/>
      <x:c r="I35" s="47" t="b">
        <x:v>0</x:v>
      </x:c>
      <x:c r="J35" s="46" t="str">
        <x:v>medium</x:v>
      </x:c>
      <x:c r="K35" s="53" t="str"/>
      <x:c r="L35" s="53" t="str"/>
      <x:c r="M35" s="46" t="str"/>
      <x:c r="N35" s="46" t="str"/>
      <x:c r="O35" s="46" t="str"/>
      <x:c r="P35" s="46" t="str">
        <x:v>אחזקה מונעת - כבישה.xlsx</x:v>
      </x:c>
      <x:c r="Q35" s="46" t="str">
        <x:v>מכבש הידראולי 500 טון</x:v>
      </x:c>
      <x:c r="R35" s="46" t="n">
        <x:v>34</x:v>
      </x:c>
      <x:c r="S35" s="47" t="b">
        <x:v>1</x:v>
      </x:c>
    </x:row>
    <x:row r="36">
      <x:c r="A36" s="46" t="str">
        <x:v>PM-00033</x:v>
      </x:c>
      <x:c r="B36" s="46" t="str">
        <x:v>ניקוי מכונה</x:v>
      </x:c>
      <x:c r="C36" s="46" t="str">
        <x:v>ניקוי מכונה</x:v>
      </x:c>
      <x:c r="D36" s="46" t="str">
        <x:v>operator_monitoring</x:v>
      </x:c>
      <x:c r="E36" s="46" t="n">
        <x:v>1</x:v>
      </x:c>
      <x:c r="F36" s="46" t="str">
        <x:v>day</x:v>
      </x:c>
      <x:c r="G36" s="46" t="n">
        <x:v>15</x:v>
      </x:c>
      <x:c r="H36" s="46" t="str"/>
      <x:c r="I36" s="47" t="b">
        <x:v>0</x:v>
      </x:c>
      <x:c r="J36" s="46" t="str">
        <x:v>medium</x:v>
      </x:c>
      <x:c r="K36" s="53" t="str"/>
      <x:c r="L36" s="53" t="str"/>
      <x:c r="M36" s="46" t="str"/>
      <x:c r="N36" s="46" t="str"/>
      <x:c r="O36" s="46" t="str"/>
      <x:c r="P36" s="46" t="str">
        <x:v>אחזקה מונעת - כבישה.xlsx</x:v>
      </x:c>
      <x:c r="Q36" s="46" t="str">
        <x:v>OVERLAP</x:v>
      </x:c>
      <x:c r="R36" s="46" t="n">
        <x:v>35</x:v>
      </x:c>
      <x:c r="S36" s="47" t="b">
        <x:v>1</x:v>
      </x:c>
    </x:row>
    <x:row r="37">
      <x:c r="A37" s="46" t="str">
        <x:v>PM-00034</x:v>
      </x:c>
      <x:c r="B37" s="46" t="str">
        <x:v>הפעלה ובדיקת מנגנון גדר בטיחות לעבודה תקינה</x:v>
      </x:c>
      <x:c r="C37" s="46" t="str">
        <x:v>הפעלה ובדיקת מנגנון גדר בטיחות לעבודה תקינה</x:v>
      </x:c>
      <x:c r="D37" s="46" t="str">
        <x:v>operator_monitoring</x:v>
      </x:c>
      <x:c r="E37" s="46" t="n">
        <x:v>1</x:v>
      </x:c>
      <x:c r="F37" s="46" t="str">
        <x:v>day</x:v>
      </x:c>
      <x:c r="G37" s="46" t="n">
        <x:v>5</x:v>
      </x:c>
      <x:c r="H37" s="46" t="str"/>
      <x:c r="I37" s="47" t="b">
        <x:v>0</x:v>
      </x:c>
      <x:c r="J37" s="46" t="str">
        <x:v>medium</x:v>
      </x:c>
      <x:c r="K37" s="53" t="str"/>
      <x:c r="L37" s="53" t="str"/>
      <x:c r="M37" s="46" t="str"/>
      <x:c r="N37" s="46" t="str"/>
      <x:c r="O37" s="46" t="str"/>
      <x:c r="P37" s="46" t="str">
        <x:v>אחזקה מונעת - כבישה.xlsx</x:v>
      </x:c>
      <x:c r="Q37" s="46" t="str">
        <x:v>OVERLAP</x:v>
      </x:c>
      <x:c r="R37" s="46" t="n">
        <x:v>36</x:v>
      </x:c>
      <x:c r="S37" s="47" t="b">
        <x:v>1</x:v>
      </x:c>
    </x:row>
    <x:row r="38">
      <x:c r="A38" s="46" t="str">
        <x:v>PM-00035</x:v>
      </x:c>
      <x:c r="B38" s="46" t="str">
        <x:v>ניגוב מכונה ומסילות מגריז ישן (כולל בתחתית המכונה)</x:v>
      </x:c>
      <x:c r="C38" s="46" t="str">
        <x:v>ניגוב מכונה ומסילות מגריז ישן (כולל בתחתית המכונה)</x:v>
      </x:c>
      <x:c r="D38" s="46" t="str">
        <x:v>operator_monitoring</x:v>
      </x:c>
      <x:c r="E38" s="46" t="n">
        <x:v>1</x:v>
      </x:c>
      <x:c r="F38" s="46" t="str">
        <x:v>week</x:v>
      </x:c>
      <x:c r="G38" s="46" t="n">
        <x:v>20</x:v>
      </x:c>
      <x:c r="H38" s="46" t="str"/>
      <x:c r="I38" s="47" t="b">
        <x:v>0</x:v>
      </x:c>
      <x:c r="J38" s="46" t="str">
        <x:v>medium</x:v>
      </x:c>
      <x:c r="K38" s="53" t="str"/>
      <x:c r="L38" s="53" t="str"/>
      <x:c r="M38" s="46" t="str"/>
      <x:c r="N38" s="46" t="str"/>
      <x:c r="O38" s="46" t="str"/>
      <x:c r="P38" s="46" t="str">
        <x:v>אחזקה מונעת - כבישה.xlsx</x:v>
      </x:c>
      <x:c r="Q38" s="46" t="str">
        <x:v>OVERLAP</x:v>
      </x:c>
      <x:c r="R38" s="46" t="n">
        <x:v>37</x:v>
      </x:c>
      <x:c r="S38" s="47" t="b">
        <x:v>1</x:v>
      </x:c>
    </x:row>
    <x:row r="39">
      <x:c r="A39" s="46" t="str">
        <x:v>PM-00036</x:v>
      </x:c>
      <x:c r="B39" s="46" t="str">
        <x:v>ניקוי רדיאטור במערכת קירור שמן ע"י אויר דחוס</x:v>
      </x:c>
      <x:c r="C39" s="46" t="str">
        <x:v>ניקוי רדיאטור במערכת קירור שמן ע"י אויר דחוס</x:v>
      </x:c>
      <x:c r="D39" s="46" t="str">
        <x:v>operator_monitoring</x:v>
      </x:c>
      <x:c r="E39" s="46" t="n">
        <x:v>1</x:v>
      </x:c>
      <x:c r="F39" s="46" t="str">
        <x:v>week</x:v>
      </x:c>
      <x:c r="G39" s="46" t="n">
        <x:v>15</x:v>
      </x:c>
      <x:c r="H39" s="46" t="str"/>
      <x:c r="I39" s="47" t="b">
        <x:v>0</x:v>
      </x:c>
      <x:c r="J39" s="46" t="str">
        <x:v>medium</x:v>
      </x:c>
      <x:c r="K39" s="53" t="str"/>
      <x:c r="L39" s="53" t="str"/>
      <x:c r="M39" s="46" t="str"/>
      <x:c r="N39" s="46" t="str"/>
      <x:c r="O39" s="46" t="str"/>
      <x:c r="P39" s="46" t="str">
        <x:v>אחזקה מונעת - כבישה.xlsx</x:v>
      </x:c>
      <x:c r="Q39" s="46" t="str">
        <x:v>OVERLAP</x:v>
      </x:c>
      <x:c r="R39" s="46" t="n">
        <x:v>38</x:v>
      </x:c>
      <x:c r="S39" s="47" t="b">
        <x:v>1</x:v>
      </x:c>
    </x:row>
    <x:row r="40">
      <x:c r="A40" s="46" t="str">
        <x:v>PM-00037</x:v>
      </x:c>
      <x:c r="B40" s="46" t="str">
        <x:v>גירוז פטמות ומסילות</x:v>
      </x:c>
      <x:c r="C40" s="46" t="str">
        <x:v>גירוז פטמות ומסילות</x:v>
      </x:c>
      <x:c r="D40" s="46" t="str">
        <x:v>operator_monitoring</x:v>
      </x:c>
      <x:c r="E40" s="46" t="n">
        <x:v>1</x:v>
      </x:c>
      <x:c r="F40" s="46" t="str">
        <x:v>week</x:v>
      </x:c>
      <x:c r="G40" s="46" t="n">
        <x:v>15</x:v>
      </x:c>
      <x:c r="H40" s="46" t="str"/>
      <x:c r="I40" s="47" t="b">
        <x:v>0</x:v>
      </x:c>
      <x:c r="J40" s="46" t="str">
        <x:v>medium</x:v>
      </x:c>
      <x:c r="K40" s="53" t="str"/>
      <x:c r="L40" s="53" t="str"/>
      <x:c r="M40" s="46" t="str"/>
      <x:c r="N40" s="46" t="str">
        <x:v>גריז</x:v>
      </x:c>
      <x:c r="O40" s="46" t="str"/>
      <x:c r="P40" s="46" t="str">
        <x:v>אחזקה מונעת - כבישה.xlsx</x:v>
      </x:c>
      <x:c r="Q40" s="46" t="str">
        <x:v>OVERLAP</x:v>
      </x:c>
      <x:c r="R40" s="46" t="n">
        <x:v>39</x:v>
      </x:c>
      <x:c r="S40" s="47" t="b">
        <x:v>1</x:v>
      </x:c>
    </x:row>
    <x:row r="41">
      <x:c r="A41" s="46" t="str">
        <x:v>PM-00038</x:v>
      </x:c>
      <x:c r="B41" s="46" t="str">
        <x:v>בדיקת סכינים לתקינות</x:v>
      </x:c>
      <x:c r="C41" s="46" t="str">
        <x:v>בדיקת סכינים לתקינות</x:v>
      </x:c>
      <x:c r="D41" s="46" t="str">
        <x:v>operator_monitoring</x:v>
      </x:c>
      <x:c r="E41" s="46" t="n">
        <x:v>1</x:v>
      </x:c>
      <x:c r="F41" s="46" t="str">
        <x:v>week</x:v>
      </x:c>
      <x:c r="G41" s="46" t="n">
        <x:v>10</x:v>
      </x:c>
      <x:c r="H41" s="46" t="str"/>
      <x:c r="I41" s="47" t="b">
        <x:v>0</x:v>
      </x:c>
      <x:c r="J41" s="46" t="str">
        <x:v>medium</x:v>
      </x:c>
      <x:c r="K41" s="53" t="str"/>
      <x:c r="L41" s="53" t="str"/>
      <x:c r="M41" s="46" t="str"/>
      <x:c r="N41" s="46" t="str"/>
      <x:c r="O41" s="46" t="str"/>
      <x:c r="P41" s="46" t="str">
        <x:v>אחזקה מונעת - כבישה.xlsx</x:v>
      </x:c>
      <x:c r="Q41" s="46" t="str">
        <x:v>OVERLAP</x:v>
      </x:c>
      <x:c r="R41" s="46" t="n">
        <x:v>40</x:v>
      </x:c>
      <x:c r="S41" s="47" t="b">
        <x:v>1</x:v>
      </x:c>
    </x:row>
    <x:row r="42">
      <x:c r="A42" s="46" t="str">
        <x:v>PM-00039</x:v>
      </x:c>
      <x:c r="B42" s="46" t="str">
        <x:v>בדיקת מערכת הידראולית לנזילות שמן</x:v>
      </x:c>
      <x:c r="C42" s="46" t="str">
        <x:v>בדיקת מערכת הידראולית לנזילות שמן</x:v>
      </x:c>
      <x:c r="D42" s="46" t="str">
        <x:v>maintenance</x:v>
      </x:c>
      <x:c r="E42" s="46" t="n">
        <x:v>1</x:v>
      </x:c>
      <x:c r="F42" s="46" t="str">
        <x:v>week</x:v>
      </x:c>
      <x:c r="G42" s="46" t="n">
        <x:v>15</x:v>
      </x:c>
      <x:c r="H42" s="46" t="str"/>
      <x:c r="I42" s="47" t="b">
        <x:v>0</x:v>
      </x:c>
      <x:c r="J42" s="46" t="str">
        <x:v>medium</x:v>
      </x:c>
      <x:c r="K42" s="53" t="str"/>
      <x:c r="L42" s="53" t="str"/>
      <x:c r="M42" s="46" t="str"/>
      <x:c r="N42" s="46" t="str"/>
      <x:c r="O42" s="46" t="str"/>
      <x:c r="P42" s="46" t="str">
        <x:v>אחזקה מונעת - כבישה.xlsx</x:v>
      </x:c>
      <x:c r="Q42" s="46" t="str">
        <x:v>OVERLAP</x:v>
      </x:c>
      <x:c r="R42" s="46" t="n">
        <x:v>41</x:v>
      </x:c>
      <x:c r="S42" s="47" t="b">
        <x:v>1</x:v>
      </x:c>
    </x:row>
    <x:row r="43">
      <x:c r="A43" s="46" t="str">
        <x:v>PM-00040</x:v>
      </x:c>
      <x:c r="B43" s="46" t="str">
        <x:v>בדיקת בוכנה הידראולית לנזילת שמן במנגנון עליה והורדה במערכת גדר בטיחות</x:v>
      </x:c>
      <x:c r="C43" s="46" t="str">
        <x:v>בדיקת בוכנה הידראולית לנזילת שמן במנגנון עליה והורדה במערכת גדר בטיחות</x:v>
      </x:c>
      <x:c r="D43" s="46" t="str">
        <x:v>maintenance</x:v>
      </x:c>
      <x:c r="E43" s="46" t="n">
        <x:v>1</x:v>
      </x:c>
      <x:c r="F43" s="46" t="str">
        <x:v>week</x:v>
      </x:c>
      <x:c r="G43" s="46" t="n">
        <x:v>10</x:v>
      </x:c>
      <x:c r="H43" s="46" t="str"/>
      <x:c r="I43" s="47" t="b">
        <x:v>0</x:v>
      </x:c>
      <x:c r="J43" s="46" t="str">
        <x:v>medium</x:v>
      </x:c>
      <x:c r="K43" s="53" t="str"/>
      <x:c r="L43" s="53" t="str"/>
      <x:c r="M43" s="46" t="str"/>
      <x:c r="N43" s="46" t="str"/>
      <x:c r="O43" s="46" t="str"/>
      <x:c r="P43" s="46" t="str">
        <x:v>אחזקה מונעת - כבישה.xlsx</x:v>
      </x:c>
      <x:c r="Q43" s="46" t="str">
        <x:v>OVERLAP</x:v>
      </x:c>
      <x:c r="R43" s="46" t="n">
        <x:v>42</x:v>
      </x:c>
      <x:c r="S43" s="47" t="b">
        <x:v>1</x:v>
      </x:c>
    </x:row>
    <x:row r="44">
      <x:c r="A44" s="46" t="str">
        <x:v>PM-00041</x:v>
      </x:c>
      <x:c r="B44" s="46" t="str">
        <x:v>בדיקת מנגנון גדר בטיחות לעבודה תקינה</x:v>
      </x:c>
      <x:c r="C44" s="46" t="str">
        <x:v>בדיקת מנגנון גדר בטיחות לעבודה תקינה</x:v>
      </x:c>
      <x:c r="D44" s="46" t="str">
        <x:v>maintenance</x:v>
      </x:c>
      <x:c r="E44" s="46" t="n">
        <x:v>1</x:v>
      </x:c>
      <x:c r="F44" s="46" t="str">
        <x:v>week</x:v>
      </x:c>
      <x:c r="G44" s="46" t="n">
        <x:v>10</x:v>
      </x:c>
      <x:c r="H44" s="46" t="str"/>
      <x:c r="I44" s="47" t="b">
        <x:v>0</x:v>
      </x:c>
      <x:c r="J44" s="46" t="str">
        <x:v>medium</x:v>
      </x:c>
      <x:c r="K44" s="53" t="str"/>
      <x:c r="L44" s="53" t="str"/>
      <x:c r="M44" s="46" t="str"/>
      <x:c r="N44" s="46" t="str"/>
      <x:c r="O44" s="46" t="str"/>
      <x:c r="P44" s="46" t="str">
        <x:v>אחזקה מונעת - כבישה.xlsx</x:v>
      </x:c>
      <x:c r="Q44" s="46" t="str">
        <x:v>OVERLAP</x:v>
      </x:c>
      <x:c r="R44" s="46" t="n">
        <x:v>43</x:v>
      </x:c>
      <x:c r="S44" s="47" t="b">
        <x:v>1</x:v>
      </x:c>
    </x:row>
    <x:row r="45">
      <x:c r="A45" s="46" t="str">
        <x:v>PM-00042</x:v>
      </x:c>
      <x:c r="B45" s="46" t="str">
        <x:v>שטיפת רדיאטור במערכת קירור שמן ע"י מים</x:v>
      </x:c>
      <x:c r="C45" s="46" t="str">
        <x:v>שטיפת רדיאטור במערכת קירור שמן ע"י מים</x:v>
      </x:c>
      <x:c r="D45" s="46" t="str">
        <x:v>maintenance</x:v>
      </x:c>
      <x:c r="E45" s="46" t="n">
        <x:v>1</x:v>
      </x:c>
      <x:c r="F45" s="46" t="str">
        <x:v>month</x:v>
      </x:c>
      <x:c r="G45" s="46" t="n">
        <x:v>20</x:v>
      </x:c>
      <x:c r="H45" s="46" t="str"/>
      <x:c r="I45" s="47" t="b">
        <x:v>0</x:v>
      </x:c>
      <x:c r="J45" s="46" t="str">
        <x:v>medium</x:v>
      </x:c>
      <x:c r="K45" s="53" t="str"/>
      <x:c r="L45" s="53" t="str"/>
      <x:c r="M45" s="46" t="str"/>
      <x:c r="N45" s="46" t="str"/>
      <x:c r="O45" s="46" t="str"/>
      <x:c r="P45" s="46" t="str">
        <x:v>אחזקה מונעת - כבישה.xlsx</x:v>
      </x:c>
      <x:c r="Q45" s="46" t="str">
        <x:v>OVERLAP</x:v>
      </x:c>
      <x:c r="R45" s="46" t="n">
        <x:v>44</x:v>
      </x:c>
      <x:c r="S45" s="47" t="b">
        <x:v>1</x:v>
      </x:c>
    </x:row>
    <x:row r="46">
      <x:c r="A46" s="46" t="str">
        <x:v>PM-00043</x:v>
      </x:c>
      <x:c r="B46" s="46" t="str">
        <x:v>בדיקה והחלפת סכינים במידת הצורך</x:v>
      </x:c>
      <x:c r="C46" s="46" t="str">
        <x:v>בדיקה והחלפת סכינים במידת הצורך</x:v>
      </x:c>
      <x:c r="D46" s="46" t="str">
        <x:v>maintenance</x:v>
      </x:c>
      <x:c r="E46" s="46" t="n">
        <x:v>1</x:v>
      </x:c>
      <x:c r="F46" s="46" t="str">
        <x:v>month</x:v>
      </x:c>
      <x:c r="G46" s="46" t="n">
        <x:v>120</x:v>
      </x:c>
      <x:c r="H46" s="46" t="str"/>
      <x:c r="I46" s="47" t="b">
        <x:v>0</x:v>
      </x:c>
      <x:c r="J46" s="46" t="str">
        <x:v>medium</x:v>
      </x:c>
      <x:c r="K46" s="53" t="str"/>
      <x:c r="L46" s="53" t="str"/>
      <x:c r="M46" s="46" t="str"/>
      <x:c r="N46" s="46" t="str"/>
      <x:c r="O46" s="46" t="str"/>
      <x:c r="P46" s="46" t="str">
        <x:v>אחזקה מונעת - כבישה.xlsx</x:v>
      </x:c>
      <x:c r="Q46" s="46" t="str">
        <x:v>OVERLAP</x:v>
      </x:c>
      <x:c r="R46" s="46" t="n">
        <x:v>45</x:v>
      </x:c>
      <x:c r="S46" s="47" t="b">
        <x:v>1</x:v>
      </x:c>
    </x:row>
    <x:row r="47">
      <x:c r="A47" s="46" t="str">
        <x:v>PM-00044</x:v>
      </x:c>
      <x:c r="B47" s="46" t="str">
        <x:v>החלפת שמן הידראולי וניקוי המיכל</x:v>
      </x:c>
      <x:c r="C47" s="46" t="str">
        <x:v>החלפת שמן הידראולי וניקוי המיכל</x:v>
      </x:c>
      <x:c r="D47" s="46" t="str">
        <x:v>maintenance</x:v>
      </x:c>
      <x:c r="E47" s="46" t="n">
        <x:v>1</x:v>
      </x:c>
      <x:c r="F47" s="46" t="str">
        <x:v>year</x:v>
      </x:c>
      <x:c r="G47" s="46" t="n">
        <x:v>120</x:v>
      </x:c>
      <x:c r="H47" s="46" t="str"/>
      <x:c r="I47" s="47" t="b">
        <x:v>0</x:v>
      </x:c>
      <x:c r="J47" s="46" t="str">
        <x:v>medium</x:v>
      </x:c>
      <x:c r="K47" s="53" t="str"/>
      <x:c r="L47" s="53" t="str"/>
      <x:c r="M47" s="46" t="str"/>
      <x:c r="N47" s="46" t="str">
        <x:v>שמן הידראלי</x:v>
      </x:c>
      <x:c r="O47" s="46" t="str"/>
      <x:c r="P47" s="46" t="str">
        <x:v>אחזקה מונעת - כבישה.xlsx</x:v>
      </x:c>
      <x:c r="Q47" s="46" t="str">
        <x:v>OVERLAP</x:v>
      </x:c>
      <x:c r="R47" s="46" t="n">
        <x:v>46</x:v>
      </x:c>
      <x:c r="S47" s="47" t="b">
        <x:v>1</x:v>
      </x:c>
    </x:row>
    <x:row r="48">
      <x:c r="A48" s="46" t="str">
        <x:v>PM-00045</x:v>
      </x:c>
      <x:c r="B48" s="46" t="str">
        <x:v>בדיקת לחצנים לתקינות</x:v>
      </x:c>
      <x:c r="C48" s="46" t="str">
        <x:v>בדיקת לחצנים לתקינות</x:v>
      </x:c>
      <x:c r="D48" s="46" t="str">
        <x:v>maintenance</x:v>
      </x:c>
      <x:c r="E48" s="46" t="n">
        <x:v>1</x:v>
      </x:c>
      <x:c r="F48" s="46" t="str">
        <x:v>week</x:v>
      </x:c>
      <x:c r="G48" s="46" t="n">
        <x:v>10</x:v>
      </x:c>
      <x:c r="H48" s="46" t="str"/>
      <x:c r="I48" s="47" t="b">
        <x:v>0</x:v>
      </x:c>
      <x:c r="J48" s="46" t="str">
        <x:v>medium</x:v>
      </x:c>
      <x:c r="K48" s="53" t="str"/>
      <x:c r="L48" s="53" t="str"/>
      <x:c r="M48" s="46" t="str"/>
      <x:c r="N48" s="46" t="str"/>
      <x:c r="O48" s="46" t="str"/>
      <x:c r="P48" s="46" t="str">
        <x:v>אחזקה מונעת - כבישה.xlsx</x:v>
      </x:c>
      <x:c r="Q48" s="46" t="str">
        <x:v>OVERLAP</x:v>
      </x:c>
      <x:c r="R48" s="46" t="n">
        <x:v>47</x:v>
      </x:c>
      <x:c r="S48" s="47" t="b">
        <x:v>1</x:v>
      </x:c>
    </x:row>
    <x:row r="49">
      <x:c r="A49" s="46" t="str">
        <x:v>PM-00046</x:v>
      </x:c>
      <x:c r="B49" s="46" t="str">
        <x:v>בדיקת חיישנים, אביזרי חשמל, כבלים ולחצנים לתקינות</x:v>
      </x:c>
      <x:c r="C49" s="46" t="str">
        <x:v>בדיקת חיישנים, אביזרי חשמל, כבלים ולחצנים לתקינות</x:v>
      </x:c>
      <x:c r="D49" s="46" t="str">
        <x:v>maintenance</x:v>
      </x:c>
      <x:c r="E49" s="46" t="n">
        <x:v>1</x:v>
      </x:c>
      <x:c r="F49" s="46" t="str">
        <x:v>month</x:v>
      </x:c>
      <x:c r="G49" s="46" t="n">
        <x:v>30</x:v>
      </x:c>
      <x:c r="H49" s="46" t="str"/>
      <x:c r="I49" s="47" t="b">
        <x:v>0</x:v>
      </x:c>
      <x:c r="J49" s="46" t="str">
        <x:v>medium</x:v>
      </x:c>
      <x:c r="K49" s="53" t="str"/>
      <x:c r="L49" s="53" t="str"/>
      <x:c r="M49" s="46" t="str"/>
      <x:c r="N49" s="46" t="str"/>
      <x:c r="O49" s="46" t="str"/>
      <x:c r="P49" s="46" t="str">
        <x:v>אחזקה מונעת - כבישה.xlsx</x:v>
      </x:c>
      <x:c r="Q49" s="46" t="str">
        <x:v>OVERLAP</x:v>
      </x:c>
      <x:c r="R49" s="46" t="n">
        <x:v>48</x:v>
      </x:c>
      <x:c r="S49" s="47" t="b">
        <x:v>1</x:v>
      </x:c>
    </x:row>
    <x:row r="50">
      <x:c r="A50" s="46" t="str">
        <x:v>PM-00047</x:v>
      </x:c>
      <x:c r="B50" s="46" t="str">
        <x:v>ניקוי ארון חשמל מאבק ע"י לחץ אויר</x:v>
      </x:c>
      <x:c r="C50" s="46" t="str">
        <x:v>ניקוי ארון חשמל מאבק ע"י לחץ אויר</x:v>
      </x:c>
      <x:c r="D50" s="46" t="str">
        <x:v>maintenance</x:v>
      </x:c>
      <x:c r="E50" s="46" t="n">
        <x:v>1</x:v>
      </x:c>
      <x:c r="F50" s="46" t="str">
        <x:v>year</x:v>
      </x:c>
      <x:c r="G50" s="46" t="n">
        <x:v>20</x:v>
      </x:c>
      <x:c r="H50" s="46" t="str"/>
      <x:c r="I50" s="47" t="b">
        <x:v>0</x:v>
      </x:c>
      <x:c r="J50" s="46" t="str">
        <x:v>medium</x:v>
      </x:c>
      <x:c r="K50" s="53" t="str"/>
      <x:c r="L50" s="53" t="str"/>
      <x:c r="M50" s="46" t="str"/>
      <x:c r="N50" s="46" t="str"/>
      <x:c r="O50" s="46" t="str">
        <x:v>יש להביא חברה לניתוק מע' כיבוי אש בארון</x:v>
      </x:c>
      <x:c r="P50" s="46" t="str">
        <x:v>אחזקה מונעת - כבישה.xlsx</x:v>
      </x:c>
      <x:c r="Q50" s="46" t="str">
        <x:v>OVERLAP</x:v>
      </x:c>
      <x:c r="R50" s="46" t="n">
        <x:v>49</x:v>
      </x:c>
      <x:c r="S50" s="47" t="b">
        <x:v>1</x:v>
      </x:c>
    </x:row>
    <x:row r="51">
      <x:c r="A51" s="46" t="str">
        <x:v>PM-00048</x:v>
      </x:c>
      <x:c r="B51" s="46" t="str">
        <x:v>בדיקת ארון חשמל והידוק ברגים</x:v>
      </x:c>
      <x:c r="C51" s="46" t="str">
        <x:v>בדיקת ארון חשמל והידוק ברגים</x:v>
      </x:c>
      <x:c r="D51" s="46" t="str">
        <x:v>maintenance</x:v>
      </x:c>
      <x:c r="E51" s="46" t="n">
        <x:v>1</x:v>
      </x:c>
      <x:c r="F51" s="46" t="str">
        <x:v>year</x:v>
      </x:c>
      <x:c r="G51" s="46" t="n">
        <x:v>60</x:v>
      </x:c>
      <x:c r="H51" s="46" t="str"/>
      <x:c r="I51" s="47" t="b">
        <x:v>0</x:v>
      </x:c>
      <x:c r="J51" s="46" t="str">
        <x:v>medium</x:v>
      </x:c>
      <x:c r="K51" s="53" t="str"/>
      <x:c r="L51" s="53" t="str"/>
      <x:c r="M51" s="46" t="str"/>
      <x:c r="N51" s="46" t="str"/>
      <x:c r="O51" s="46" t="str"/>
      <x:c r="P51" s="46" t="str">
        <x:v>אחזקה מונעת - כבישה.xlsx</x:v>
      </x:c>
      <x:c r="Q51" s="46" t="str">
        <x:v>OVERLAP</x:v>
      </x:c>
      <x:c r="R51" s="46" t="n">
        <x:v>50</x:v>
      </x:c>
      <x:c r="S51" s="47" t="b">
        <x:v>1</x:v>
      </x:c>
    </x:row>
    <x:row r="52">
      <x:c r="A52" s="46" t="str">
        <x:v>PM-00049</x:v>
      </x:c>
      <x:c r="B52" s="46" t="str">
        <x:v>ניקוי מכונה</x:v>
      </x:c>
      <x:c r="C52" s="46" t="str">
        <x:v>ניקוי מכונה</x:v>
      </x:c>
      <x:c r="D52" s="46" t="str">
        <x:v>operator_monitoring</x:v>
      </x:c>
      <x:c r="E52" s="46" t="n">
        <x:v>1</x:v>
      </x:c>
      <x:c r="F52" s="46" t="str">
        <x:v>day</x:v>
      </x:c>
      <x:c r="G52" s="46" t="n">
        <x:v>15</x:v>
      </x:c>
      <x:c r="H52" s="46" t="str"/>
      <x:c r="I52" s="47" t="b">
        <x:v>0</x:v>
      </x:c>
      <x:c r="J52" s="46" t="str">
        <x:v>medium</x:v>
      </x:c>
      <x:c r="K52" s="53" t="str"/>
      <x:c r="L52" s="53" t="str"/>
      <x:c r="M52" s="46" t="str"/>
      <x:c r="N52" s="46" t="str"/>
      <x:c r="O52" s="46" t="str"/>
      <x:c r="P52" s="46" t="str">
        <x:v>אחזקה מונעת - כבישה.xlsx</x:v>
      </x:c>
      <x:c r="Q52" s="46" t="str">
        <x:v>מכבש אקצנטרי 250 טון</x:v>
      </x:c>
      <x:c r="R52" s="46" t="n">
        <x:v>51</x:v>
      </x:c>
      <x:c r="S52" s="47" t="b">
        <x:v>1</x:v>
      </x:c>
    </x:row>
    <x:row r="53">
      <x:c r="A53" s="46" t="str">
        <x:v>PM-00050</x:v>
      </x:c>
      <x:c r="B53" s="46" t="str">
        <x:v>ניקוי עניים פוטואלקטיר ומראות במערכת גדר בטיחות עם מטלית יבשה</x:v>
      </x:c>
      <x:c r="C53" s="46" t="str">
        <x:v>ניקוי עניים פוטואלקטיר ומראות במערכת גדר בטיחות עם מטלית יבשה</x:v>
      </x:c>
      <x:c r="D53" s="46" t="str">
        <x:v>operator_monitoring</x:v>
      </x:c>
      <x:c r="E53" s="46" t="n">
        <x:v>1</x:v>
      </x:c>
      <x:c r="F53" s="46" t="str">
        <x:v>day</x:v>
      </x:c>
      <x:c r="G53" s="46" t="n">
        <x:v>10</x:v>
      </x:c>
      <x:c r="H53" s="46" t="str"/>
      <x:c r="I53" s="47" t="b">
        <x:v>0</x:v>
      </x:c>
      <x:c r="J53" s="46" t="str">
        <x:v>medium</x:v>
      </x:c>
      <x:c r="K53" s="53" t="str"/>
      <x:c r="L53" s="53" t="str"/>
      <x:c r="M53" s="46" t="str"/>
      <x:c r="N53" s="46" t="str"/>
      <x:c r="O53" s="46" t="str"/>
      <x:c r="P53" s="46" t="str">
        <x:v>אחזקה מונעת - כבישה.xlsx</x:v>
      </x:c>
      <x:c r="Q53" s="46" t="str">
        <x:v>מכבש אקצנטרי 250 טון</x:v>
      </x:c>
      <x:c r="R53" s="46" t="n">
        <x:v>52</x:v>
      </x:c>
      <x:c r="S53" s="47" t="b">
        <x:v>1</x:v>
      </x:c>
    </x:row>
    <x:row r="54">
      <x:c r="A54" s="46" t="str">
        <x:v>PM-00051</x:v>
      </x:c>
      <x:c r="B54" s="46" t="str">
        <x:v>בדיקת סכינים לתקינות</x:v>
      </x:c>
      <x:c r="C54" s="46" t="str">
        <x:v>בדיקת סכינים לתקינות</x:v>
      </x:c>
      <x:c r="D54" s="46" t="str">
        <x:v>operator_monitoring</x:v>
      </x:c>
      <x:c r="E54" s="46" t="n">
        <x:v>1</x:v>
      </x:c>
      <x:c r="F54" s="46" t="str">
        <x:v>week</x:v>
      </x:c>
      <x:c r="G54" s="46" t="n">
        <x:v>10</x:v>
      </x:c>
      <x:c r="H54" s="46" t="str"/>
      <x:c r="I54" s="47" t="b">
        <x:v>0</x:v>
      </x:c>
      <x:c r="J54" s="46" t="str">
        <x:v>medium</x:v>
      </x:c>
      <x:c r="K54" s="53" t="str"/>
      <x:c r="L54" s="53" t="str"/>
      <x:c r="M54" s="46" t="str"/>
      <x:c r="N54" s="46" t="str"/>
      <x:c r="O54" s="46" t="str"/>
      <x:c r="P54" s="46" t="str">
        <x:v>אחזקה מונעת - כבישה.xlsx</x:v>
      </x:c>
      <x:c r="Q54" s="46" t="str">
        <x:v>מכבש אקצנטרי 250 טון</x:v>
      </x:c>
      <x:c r="R54" s="46" t="n">
        <x:v>53</x:v>
      </x:c>
      <x:c r="S54" s="47" t="b">
        <x:v>1</x:v>
      </x:c>
    </x:row>
    <x:row r="55">
      <x:c r="A55" s="46" t="str">
        <x:v>PM-00052</x:v>
      </x:c>
      <x:c r="B55" s="46" t="str">
        <x:v>ניגוב מכונה מגריז ישן (כולל מעל המכונה)</x:v>
      </x:c>
      <x:c r="C55" s="46" t="str">
        <x:v>ניגוב מכונה מגריז ישן (כולל מעל המכונה)</x:v>
      </x:c>
      <x:c r="D55" s="46" t="str">
        <x:v>operator_monitoring</x:v>
      </x:c>
      <x:c r="E55" s="46" t="n">
        <x:v>1</x:v>
      </x:c>
      <x:c r="F55" s="46" t="str">
        <x:v>month</x:v>
      </x:c>
      <x:c r="G55" s="46" t="n">
        <x:v>30</x:v>
      </x:c>
      <x:c r="H55" s="46" t="str"/>
      <x:c r="I55" s="47" t="b">
        <x:v>0</x:v>
      </x:c>
      <x:c r="J55" s="46" t="str">
        <x:v>medium</x:v>
      </x:c>
      <x:c r="K55" s="53" t="str"/>
      <x:c r="L55" s="53" t="str"/>
      <x:c r="M55" s="46" t="str"/>
      <x:c r="N55" s="46" t="str"/>
      <x:c r="O55" s="46" t="str"/>
      <x:c r="P55" s="46" t="str">
        <x:v>אחזקה מונעת - כבישה.xlsx</x:v>
      </x:c>
      <x:c r="Q55" s="46" t="str">
        <x:v>מכבש אקצנטרי 250 טון</x:v>
      </x:c>
      <x:c r="R55" s="46" t="n">
        <x:v>54</x:v>
      </x:c>
      <x:c r="S55" s="47" t="b">
        <x:v>1</x:v>
      </x:c>
    </x:row>
    <x:row r="56">
      <x:c r="A56" s="46" t="str">
        <x:v>PM-00053</x:v>
      </x:c>
      <x:c r="B56" s="46" t="str">
        <x:v>בדיקת נזילות שמן וגריז</x:v>
      </x:c>
      <x:c r="C56" s="46" t="str">
        <x:v>בדיקת נזילות שמן וגריז</x:v>
      </x:c>
      <x:c r="D56" s="46" t="str">
        <x:v>maintenance</x:v>
      </x:c>
      <x:c r="E56" s="46" t="n">
        <x:v>1</x:v>
      </x:c>
      <x:c r="F56" s="46" t="str">
        <x:v>week</x:v>
      </x:c>
      <x:c r="G56" s="46" t="n">
        <x:v>20</x:v>
      </x:c>
      <x:c r="H56" s="46" t="str"/>
      <x:c r="I56" s="47" t="b">
        <x:v>0</x:v>
      </x:c>
      <x:c r="J56" s="46" t="str">
        <x:v>medium</x:v>
      </x:c>
      <x:c r="K56" s="53" t="str"/>
      <x:c r="L56" s="53" t="str"/>
      <x:c r="M56" s="46" t="str"/>
      <x:c r="N56" s="46" t="str"/>
      <x:c r="O56" s="46" t="str"/>
      <x:c r="P56" s="46" t="str">
        <x:v>אחזקה מונעת - כבישה.xlsx</x:v>
      </x:c>
      <x:c r="Q56" s="46" t="str">
        <x:v>מכבש אקצנטרי 250 טון</x:v>
      </x:c>
      <x:c r="R56" s="46" t="n">
        <x:v>55</x:v>
      </x:c>
      <x:c r="S56" s="47" t="b">
        <x:v>1</x:v>
      </x:c>
    </x:row>
    <x:row r="57">
      <x:c r="A57" s="46" t="str">
        <x:v>PM-00054</x:v>
      </x:c>
      <x:c r="B57" s="46" t="str">
        <x:v>בדיקת נזילות אויר</x:v>
      </x:c>
      <x:c r="C57" s="46" t="str">
        <x:v>בדיקת נזילות אויר</x:v>
      </x:c>
      <x:c r="D57" s="46" t="str">
        <x:v>maintenance</x:v>
      </x:c>
      <x:c r="E57" s="46" t="n">
        <x:v>1</x:v>
      </x:c>
      <x:c r="F57" s="46" t="str">
        <x:v>week</x:v>
      </x:c>
      <x:c r="G57" s="46" t="n">
        <x:v>15</x:v>
      </x:c>
      <x:c r="H57" s="46" t="str"/>
      <x:c r="I57" s="47" t="b">
        <x:v>0</x:v>
      </x:c>
      <x:c r="J57" s="46" t="str">
        <x:v>medium</x:v>
      </x:c>
      <x:c r="K57" s="53" t="str"/>
      <x:c r="L57" s="53" t="str"/>
      <x:c r="M57" s="46" t="str"/>
      <x:c r="N57" s="46" t="str"/>
      <x:c r="O57" s="46" t="str"/>
      <x:c r="P57" s="46" t="str">
        <x:v>אחזקה מונעת - כבישה.xlsx</x:v>
      </x:c>
      <x:c r="Q57" s="46" t="str">
        <x:v>מכבש אקצנטרי 250 טון</x:v>
      </x:c>
      <x:c r="R57" s="46" t="n">
        <x:v>56</x:v>
      </x:c>
      <x:c r="S57" s="47" t="b">
        <x:v>1</x:v>
      </x:c>
    </x:row>
    <x:row r="58">
      <x:c r="A58" s="46" t="str">
        <x:v>PM-00055</x:v>
      </x:c>
      <x:c r="B58" s="46" t="str">
        <x:v>בדיקה ומילוי שמן במערכת שימון אוטומטית</x:v>
      </x:c>
      <x:c r="C58" s="46" t="str">
        <x:v>בדיקה ומילוי שמן במערכת שימון אוטומטית</x:v>
      </x:c>
      <x:c r="D58" s="46" t="str">
        <x:v>maintenance</x:v>
      </x:c>
      <x:c r="E58" s="46" t="n">
        <x:v>1</x:v>
      </x:c>
      <x:c r="F58" s="46" t="str">
        <x:v>month</x:v>
      </x:c>
      <x:c r="G58" s="46" t="n">
        <x:v>20</x:v>
      </x:c>
      <x:c r="H58" s="46" t="str"/>
      <x:c r="I58" s="47" t="b">
        <x:v>0</x:v>
      </x:c>
      <x:c r="J58" s="46" t="str">
        <x:v>medium</x:v>
      </x:c>
      <x:c r="K58" s="53" t="str"/>
      <x:c r="L58" s="53" t="str"/>
      <x:c r="M58" s="46" t="str"/>
      <x:c r="N58" s="46" t="str">
        <x:v>שמן</x:v>
      </x:c>
      <x:c r="O58" s="46" t="str"/>
      <x:c r="P58" s="46" t="str">
        <x:v>אחזקה מונעת - כבישה.xlsx</x:v>
      </x:c>
      <x:c r="Q58" s="46" t="str">
        <x:v>מכבש אקצנטרי 250 טון</x:v>
      </x:c>
      <x:c r="R58" s="46" t="n">
        <x:v>57</x:v>
      </x:c>
      <x:c r="S58" s="47" t="b">
        <x:v>1</x:v>
      </x:c>
    </x:row>
    <x:row r="59">
      <x:c r="A59" s="46" t="str">
        <x:v>PM-00056</x:v>
      </x:c>
      <x:c r="B59" s="46" t="str">
        <x:v>בדיקה ומילוי גריז במערכת גירוז אוטומטית</x:v>
      </x:c>
      <x:c r="C59" s="46" t="str">
        <x:v>בדיקה ומילוי גריז במערכת גירוז אוטומטית</x:v>
      </x:c>
      <x:c r="D59" s="46" t="str">
        <x:v>maintenance</x:v>
      </x:c>
      <x:c r="E59" s="46" t="n">
        <x:v>1</x:v>
      </x:c>
      <x:c r="F59" s="46" t="str">
        <x:v>month</x:v>
      </x:c>
      <x:c r="G59" s="46" t="n">
        <x:v>20</x:v>
      </x:c>
      <x:c r="H59" s="46" t="str"/>
      <x:c r="I59" s="47" t="b">
        <x:v>0</x:v>
      </x:c>
      <x:c r="J59" s="46" t="str">
        <x:v>medium</x:v>
      </x:c>
      <x:c r="K59" s="53" t="str"/>
      <x:c r="L59" s="53" t="str"/>
      <x:c r="M59" s="46" t="str"/>
      <x:c r="N59" s="46" t="str">
        <x:v>גריז</x:v>
      </x:c>
      <x:c r="O59" s="46" t="str"/>
      <x:c r="P59" s="46" t="str">
        <x:v>אחזקה מונעת - כבישה.xlsx</x:v>
      </x:c>
      <x:c r="Q59" s="46" t="str">
        <x:v>מכבש אקצנטרי 250 טון</x:v>
      </x:c>
      <x:c r="R59" s="46" t="n">
        <x:v>58</x:v>
      </x:c>
      <x:c r="S59" s="47" t="b">
        <x:v>1</x:v>
      </x:c>
    </x:row>
    <x:row r="60">
      <x:c r="A60" s="46" t="str">
        <x:v>PM-00057</x:v>
      </x:c>
      <x:c r="B60" s="46" t="str">
        <x:v>בדיקת יחידת הנעה של המכונה</x:v>
      </x:c>
      <x:c r="C60" s="46" t="str">
        <x:v>בדיקת יחידת הנעה של המכונה</x:v>
      </x:c>
      <x:c r="D60" s="46" t="str">
        <x:v>maintenance</x:v>
      </x:c>
      <x:c r="E60" s="46" t="n">
        <x:v>1</x:v>
      </x:c>
      <x:c r="F60" s="46" t="str">
        <x:v>half_year</x:v>
      </x:c>
      <x:c r="G60" s="46" t="n">
        <x:v>60</x:v>
      </x:c>
      <x:c r="H60" s="46" t="str"/>
      <x:c r="I60" s="47" t="b">
        <x:v>0</x:v>
      </x:c>
      <x:c r="J60" s="46" t="str">
        <x:v>medium</x:v>
      </x:c>
      <x:c r="K60" s="53" t="str"/>
      <x:c r="L60" s="53" t="str"/>
      <x:c r="M60" s="46" t="str"/>
      <x:c r="N60" s="46" t="str"/>
      <x:c r="O60" s="46" t="str"/>
      <x:c r="P60" s="46" t="str">
        <x:v>אחזקה מונעת - כבישה.xlsx</x:v>
      </x:c>
      <x:c r="Q60" s="46" t="str">
        <x:v>מכבש אקצנטרי 250 טון</x:v>
      </x:c>
      <x:c r="R60" s="46" t="n">
        <x:v>59</x:v>
      </x:c>
      <x:c r="S60" s="47" t="b">
        <x:v>1</x:v>
      </x:c>
    </x:row>
    <x:row r="61">
      <x:c r="A61" s="46" t="str">
        <x:v>PM-00058</x:v>
      </x:c>
      <x:c r="B61" s="46" t="str">
        <x:v>בדיקת מנגנון אקצנטרי לחופשים</x:v>
      </x:c>
      <x:c r="C61" s="46" t="str">
        <x:v>בדיקת מנגנון אקצנטרי לחופשים</x:v>
      </x:c>
      <x:c r="D61" s="46" t="str">
        <x:v>maintenance</x:v>
      </x:c>
      <x:c r="E61" s="46" t="n">
        <x:v>1</x:v>
      </x:c>
      <x:c r="F61" s="46" t="str">
        <x:v>half_year</x:v>
      </x:c>
      <x:c r="G61" s="46" t="n">
        <x:v>60</x:v>
      </x:c>
      <x:c r="H61" s="46" t="str"/>
      <x:c r="I61" s="47" t="b">
        <x:v>0</x:v>
      </x:c>
      <x:c r="J61" s="46" t="str">
        <x:v>medium</x:v>
      </x:c>
      <x:c r="K61" s="53" t="str"/>
      <x:c r="L61" s="53" t="str"/>
      <x:c r="M61" s="46" t="str"/>
      <x:c r="N61" s="46" t="str"/>
      <x:c r="O61" s="46" t="str"/>
      <x:c r="P61" s="46" t="str">
        <x:v>אחזקה מונעת - כבישה.xlsx</x:v>
      </x:c>
      <x:c r="Q61" s="46" t="str">
        <x:v>מכבש אקצנטרי 250 טון</x:v>
      </x:c>
      <x:c r="R61" s="46" t="n">
        <x:v>60</x:v>
      </x:c>
      <x:c r="S61" s="47" t="b">
        <x:v>1</x:v>
      </x:c>
    </x:row>
    <x:row r="62">
      <x:c r="A62" s="46" t="str">
        <x:v>PM-00059</x:v>
      </x:c>
      <x:c r="B62" s="46" t="str">
        <x:v>בדיקת לחצנים לתקינות</x:v>
      </x:c>
      <x:c r="C62" s="46" t="str">
        <x:v>בדיקת לחצנים לתקינות</x:v>
      </x:c>
      <x:c r="D62" s="46" t="str">
        <x:v>maintenance</x:v>
      </x:c>
      <x:c r="E62" s="46" t="n">
        <x:v>1</x:v>
      </x:c>
      <x:c r="F62" s="46" t="str">
        <x:v>week</x:v>
      </x:c>
      <x:c r="G62" s="46" t="n">
        <x:v>10</x:v>
      </x:c>
      <x:c r="H62" s="46" t="str"/>
      <x:c r="I62" s="47" t="b">
        <x:v>0</x:v>
      </x:c>
      <x:c r="J62" s="46" t="str">
        <x:v>medium</x:v>
      </x:c>
      <x:c r="K62" s="53" t="str"/>
      <x:c r="L62" s="53" t="str"/>
      <x:c r="M62" s="46" t="str"/>
      <x:c r="N62" s="46" t="str"/>
      <x:c r="O62" s="46" t="str"/>
      <x:c r="P62" s="46" t="str">
        <x:v>אחזקה מונעת - כבישה.xlsx</x:v>
      </x:c>
      <x:c r="Q62" s="46" t="str">
        <x:v>מכבש אקצנטרי 250 טון</x:v>
      </x:c>
      <x:c r="R62" s="46" t="n">
        <x:v>61</x:v>
      </x:c>
      <x:c r="S62" s="47" t="b">
        <x:v>1</x:v>
      </x:c>
    </x:row>
    <x:row r="63">
      <x:c r="A63" s="46" t="str">
        <x:v>PM-00060</x:v>
      </x:c>
      <x:c r="B63" s="46" t="str">
        <x:v>בדיקת ציוד חשמל לתקינות, כבלים, מחברים, עניים פוטאלקטרים וכו'</x:v>
      </x:c>
      <x:c r="C63" s="46" t="str">
        <x:v>בדיקת ציוד חשמל לתקינות, כבלים, מחברים, עניים פוטאלקטרים וכו'</x:v>
      </x:c>
      <x:c r="D63" s="46" t="str">
        <x:v>maintenance</x:v>
      </x:c>
      <x:c r="E63" s="46" t="n">
        <x:v>1</x:v>
      </x:c>
      <x:c r="F63" s="46" t="str">
        <x:v>month</x:v>
      </x:c>
      <x:c r="G63" s="46" t="n">
        <x:v>40</x:v>
      </x:c>
      <x:c r="H63" s="46" t="str"/>
      <x:c r="I63" s="47" t="b">
        <x:v>0</x:v>
      </x:c>
      <x:c r="J63" s="46" t="str">
        <x:v>medium</x:v>
      </x:c>
      <x:c r="K63" s="53" t="str"/>
      <x:c r="L63" s="53" t="str"/>
      <x:c r="M63" s="46" t="str"/>
      <x:c r="N63" s="46" t="str"/>
      <x:c r="O63" s="46" t="str"/>
      <x:c r="P63" s="46" t="str">
        <x:v>אחזקה מונעת - כבישה.xlsx</x:v>
      </x:c>
      <x:c r="Q63" s="46" t="str">
        <x:v>מכבש אקצנטרי 250 טון</x:v>
      </x:c>
      <x:c r="R63" s="46" t="n">
        <x:v>62</x:v>
      </x:c>
      <x:c r="S63" s="47" t="b">
        <x:v>1</x:v>
      </x:c>
    </x:row>
    <x:row r="64">
      <x:c r="A64" s="46" t="str">
        <x:v>PM-00061</x:v>
      </x:c>
      <x:c r="B64" s="46" t="str">
        <x:v>ניקוי ארון חשמל מאבק ע"י לחץ אויר</x:v>
      </x:c>
      <x:c r="C64" s="46" t="str">
        <x:v>ניקוי ארון חשמל מאבק ע"י לחץ אויר</x:v>
      </x:c>
      <x:c r="D64" s="46" t="str">
        <x:v>maintenance</x:v>
      </x:c>
      <x:c r="E64" s="46" t="n">
        <x:v>1</x:v>
      </x:c>
      <x:c r="F64" s="46" t="str">
        <x:v>year</x:v>
      </x:c>
      <x:c r="G64" s="46" t="n">
        <x:v>20</x:v>
      </x:c>
      <x:c r="H64" s="46" t="str"/>
      <x:c r="I64" s="47" t="b">
        <x:v>0</x:v>
      </x:c>
      <x:c r="J64" s="46" t="str">
        <x:v>medium</x:v>
      </x:c>
      <x:c r="K64" s="53" t="str"/>
      <x:c r="L64" s="53" t="str"/>
      <x:c r="M64" s="46" t="str"/>
      <x:c r="N64" s="46" t="str"/>
      <x:c r="O64" s="46" t="str">
        <x:v>יש להביא חברה לניתוק מע' כיבוי אש בארון</x:v>
      </x:c>
      <x:c r="P64" s="46" t="str">
        <x:v>אחזקה מונעת - כבישה.xlsx</x:v>
      </x:c>
      <x:c r="Q64" s="46" t="str">
        <x:v>מכבש אקצנטרי 250 טון</x:v>
      </x:c>
      <x:c r="R64" s="46" t="n">
        <x:v>63</x:v>
      </x:c>
      <x:c r="S64" s="47" t="b">
        <x:v>1</x:v>
      </x:c>
    </x:row>
    <x:row r="65">
      <x:c r="A65" s="46" t="str">
        <x:v>PM-00062</x:v>
      </x:c>
      <x:c r="B65" s="46" t="str">
        <x:v>בדיקת ארון חשמל והידוק ברגים</x:v>
      </x:c>
      <x:c r="C65" s="46" t="str">
        <x:v>בדיקת ארון חשמל והידוק ברגים</x:v>
      </x:c>
      <x:c r="D65" s="46" t="str">
        <x:v>maintenance</x:v>
      </x:c>
      <x:c r="E65" s="46" t="n">
        <x:v>1</x:v>
      </x:c>
      <x:c r="F65" s="46" t="str">
        <x:v>year</x:v>
      </x:c>
      <x:c r="G65" s="46" t="n">
        <x:v>60</x:v>
      </x:c>
      <x:c r="H65" s="46" t="str"/>
      <x:c r="I65" s="47" t="b">
        <x:v>0</x:v>
      </x:c>
      <x:c r="J65" s="46" t="str">
        <x:v>medium</x:v>
      </x:c>
      <x:c r="K65" s="53" t="str"/>
      <x:c r="L65" s="53" t="str"/>
      <x:c r="M65" s="46" t="str"/>
      <x:c r="N65" s="46" t="str"/>
      <x:c r="O65" s="46" t="str"/>
      <x:c r="P65" s="46" t="str">
        <x:v>אחזקה מונעת - כבישה.xlsx</x:v>
      </x:c>
      <x:c r="Q65" s="46" t="str">
        <x:v>מכבש אקצנטרי 250 טון</x:v>
      </x:c>
      <x:c r="R65" s="46" t="n">
        <x:v>64</x:v>
      </x:c>
      <x:c r="S65" s="47" t="b">
        <x:v>1</x:v>
      </x:c>
    </x:row>
    <x:row r="66">
      <x:c r="A66" s="46" t="str">
        <x:v>PM-00063</x:v>
      </x:c>
      <x:c r="B66" s="46" t="str">
        <x:v>בדיקת כננת חשמלית לעבודה</x:v>
      </x:c>
      <x:c r="C66" s="46" t="str">
        <x:v>בדיקת כננת חשמלית לעבודה</x:v>
      </x:c>
      <x:c r="D66" s="46" t="str">
        <x:v>operator_monitoring</x:v>
      </x:c>
      <x:c r="E66" s="46" t="n">
        <x:v>1</x:v>
      </x:c>
      <x:c r="F66" s="46" t="str">
        <x:v>day</x:v>
      </x:c>
      <x:c r="G66" s="46" t="n">
        <x:v>5</x:v>
      </x:c>
      <x:c r="H66" s="46" t="str"/>
      <x:c r="I66" s="47" t="b">
        <x:v>0</x:v>
      </x:c>
      <x:c r="J66" s="46" t="str">
        <x:v>medium</x:v>
      </x:c>
      <x:c r="K66" s="53" t="str"/>
      <x:c r="L66" s="53" t="str"/>
      <x:c r="M66" s="46" t="str"/>
      <x:c r="N66" s="46" t="str"/>
      <x:c r="O66" s="46" t="str"/>
      <x:c r="P66" s="46" t="str">
        <x:v>אחזקה מונעת - מערכת שרפת אמייל.xlsx</x:v>
      </x:c>
      <x:c r="Q66" s="46" t="str">
        <x:v>מסילות וכננת הרמה חשמלית</x:v>
      </x:c>
      <x:c r="R66" s="46" t="n">
        <x:v>65</x:v>
      </x:c>
      <x:c r="S66" s="47" t="b">
        <x:v>1</x:v>
      </x:c>
    </x:row>
    <x:row r="67">
      <x:c r="A67" s="46" t="str">
        <x:v>PM-00064</x:v>
      </x:c>
      <x:c r="B67" s="46" t="str">
        <x:v>ניקוי שלט כננת הרמה משמן וגריז עם שמרטוט יבשה</x:v>
      </x:c>
      <x:c r="C67" s="46" t="str">
        <x:v>ניקוי שלט כננת הרמה משמן וגריז עם שמרטוט יבשה</x:v>
      </x:c>
      <x:c r="D67" s="46" t="str">
        <x:v>operator_monitoring</x:v>
      </x:c>
      <x:c r="E67" s="46" t="n">
        <x:v>1</x:v>
      </x:c>
      <x:c r="F67" s="46" t="str">
        <x:v>week</x:v>
      </x:c>
      <x:c r="G67" s="46" t="n">
        <x:v>15</x:v>
      </x:c>
      <x:c r="H67" s="46" t="str"/>
      <x:c r="I67" s="47" t="b">
        <x:v>0</x:v>
      </x:c>
      <x:c r="J67" s="46" t="str">
        <x:v>medium</x:v>
      </x:c>
      <x:c r="K67" s="53" t="str"/>
      <x:c r="L67" s="53" t="str"/>
      <x:c r="M67" s="46" t="str"/>
      <x:c r="N67" s="46" t="str"/>
      <x:c r="O67" s="46" t="str"/>
      <x:c r="P67" s="46" t="str">
        <x:v>אחזקה מונעת - מערכת שרפת אמייל.xlsx</x:v>
      </x:c>
      <x:c r="Q67" s="46" t="str">
        <x:v>מסילות וכננת הרמה חשמלית</x:v>
      </x:c>
      <x:c r="R67" s="46" t="n">
        <x:v>66</x:v>
      </x:c>
      <x:c r="S67" s="47" t="b">
        <x:v>1</x:v>
      </x:c>
    </x:row>
    <x:row r="68">
      <x:c r="A68" s="46" t="str">
        <x:v>PM-00065</x:v>
      </x:c>
      <x:c r="B68" s="46" t="str">
        <x:v>בדיקת קונסטרוקציה לנזקים וחלודה</x:v>
      </x:c>
      <x:c r="C68" s="46" t="str">
        <x:v>בדיקת קונסטרוקציה לנזקים וחלודה</x:v>
      </x:c>
      <x:c r="D68" s="46" t="str">
        <x:v>maintenance</x:v>
      </x:c>
      <x:c r="E68" s="46" t="n">
        <x:v>1</x:v>
      </x:c>
      <x:c r="F68" s="46" t="str">
        <x:v>half_year</x:v>
      </x:c>
      <x:c r="G68" s="46" t="n">
        <x:v>15</x:v>
      </x:c>
      <x:c r="H68" s="46" t="str"/>
      <x:c r="I68" s="47" t="b">
        <x:v>0</x:v>
      </x:c>
      <x:c r="J68" s="46" t="str">
        <x:v>medium</x:v>
      </x:c>
      <x:c r="K68" s="53" t="str"/>
      <x:c r="L68" s="53" t="str"/>
      <x:c r="M68" s="46" t="str"/>
      <x:c r="N68" s="46" t="str"/>
      <x:c r="O68" s="46" t="str"/>
      <x:c r="P68" s="46" t="str">
        <x:v>אחזקה מונעת - מערכת שרפת אמייל.xlsx</x:v>
      </x:c>
      <x:c r="Q68" s="46" t="str">
        <x:v>מסילות וכננת הרמה חשמלית</x:v>
      </x:c>
      <x:c r="R68" s="46" t="n">
        <x:v>67</x:v>
      </x:c>
      <x:c r="S68" s="47" t="b">
        <x:v>1</x:v>
      </x:c>
    </x:row>
    <x:row r="69">
      <x:c r="A69" s="46" t="str">
        <x:v>PM-00066</x:v>
      </x:c>
      <x:c r="B69" s="46" t="str">
        <x:v>בדיקת וו בככנת הרמה לתקינות</x:v>
      </x:c>
      <x:c r="C69" s="46" t="str">
        <x:v>בדיקת וו בככנת הרמה לתקינות</x:v>
      </x:c>
      <x:c r="D69" s="46" t="str">
        <x:v>maintenance</x:v>
      </x:c>
      <x:c r="E69" s="46" t="n">
        <x:v>1</x:v>
      </x:c>
      <x:c r="F69" s="46" t="str">
        <x:v>half_year</x:v>
      </x:c>
      <x:c r="G69" s="46" t="n">
        <x:v>5</x:v>
      </x:c>
      <x:c r="H69" s="46" t="str"/>
      <x:c r="I69" s="47" t="b">
        <x:v>0</x:v>
      </x:c>
      <x:c r="J69" s="46" t="str">
        <x:v>medium</x:v>
      </x:c>
      <x:c r="K69" s="53" t="str"/>
      <x:c r="L69" s="53" t="str"/>
      <x:c r="M69" s="46" t="str"/>
      <x:c r="N69" s="46" t="str"/>
      <x:c r="O69" s="46" t="str"/>
      <x:c r="P69" s="46" t="str">
        <x:v>אחזקה מונעת - מערכת שרפת אמייל.xlsx</x:v>
      </x:c>
      <x:c r="Q69" s="46" t="str">
        <x:v>מסילות וכננת הרמה חשמלית</x:v>
      </x:c>
      <x:c r="R69" s="46" t="n">
        <x:v>68</x:v>
      </x:c>
      <x:c r="S69" s="47" t="b">
        <x:v>1</x:v>
      </x:c>
    </x:row>
    <x:row r="70">
      <x:c r="A70" s="46" t="str">
        <x:v>PM-00067</x:v>
      </x:c>
      <x:c r="B70" s="46" t="str">
        <x:v>בדיקת תקינות שלט כננן הרמה</x:v>
      </x:c>
      <x:c r="C70" s="46" t="str">
        <x:v>בדיקת תקינות שלט כננן הרמה</x:v>
      </x:c>
      <x:c r="D70" s="46" t="str">
        <x:v>maintenance</x:v>
      </x:c>
      <x:c r="E70" s="46" t="n">
        <x:v>1</x:v>
      </x:c>
      <x:c r="F70" s="46" t="str">
        <x:v>month</x:v>
      </x:c>
      <x:c r="G70" s="46" t="n">
        <x:v>10</x:v>
      </x:c>
      <x:c r="H70" s="46" t="str"/>
      <x:c r="I70" s="47" t="b">
        <x:v>0</x:v>
      </x:c>
      <x:c r="J70" s="46" t="str">
        <x:v>medium</x:v>
      </x:c>
      <x:c r="K70" s="53" t="str"/>
      <x:c r="L70" s="53" t="str"/>
      <x:c r="M70" s="46" t="str"/>
      <x:c r="N70" s="46" t="str"/>
      <x:c r="O70" s="46" t="str"/>
      <x:c r="P70" s="46" t="str">
        <x:v>אחזקה מונעת - מערכת שרפת אמייל.xlsx</x:v>
      </x:c>
      <x:c r="Q70" s="46" t="str">
        <x:v>מסילות וכננת הרמה חשמלית</x:v>
      </x:c>
      <x:c r="R70" s="46" t="n">
        <x:v>69</x:v>
      </x:c>
      <x:c r="S70" s="47" t="b">
        <x:v>1</x:v>
      </x:c>
    </x:row>
    <x:row r="71">
      <x:c r="A71" s="46" t="str">
        <x:v>PM-00068</x:v>
      </x:c>
      <x:c r="B71" s="46" t="str">
        <x:v>בדיקת אביזרי חשמל לתקינות (כולל כבלים ומחברים)</x:v>
      </x:c>
      <x:c r="C71" s="46" t="str">
        <x:v>בדיקת אביזרי חשמל לתקינות (כולל כבלים ומחברים)</x:v>
      </x:c>
      <x:c r="D71" s="46" t="str">
        <x:v>maintenance</x:v>
      </x:c>
      <x:c r="E71" s="46" t="n">
        <x:v>1</x:v>
      </x:c>
      <x:c r="F71" s="46" t="str">
        <x:v>half_year</x:v>
      </x:c>
      <x:c r="G71" s="46" t="n">
        <x:v>20</x:v>
      </x:c>
      <x:c r="H71" s="46" t="str"/>
      <x:c r="I71" s="47" t="b">
        <x:v>0</x:v>
      </x:c>
      <x:c r="J71" s="46" t="str">
        <x:v>medium</x:v>
      </x:c>
      <x:c r="K71" s="53" t="str"/>
      <x:c r="L71" s="53" t="str"/>
      <x:c r="M71" s="46" t="str"/>
      <x:c r="N71" s="46" t="str"/>
      <x:c r="O71" s="46" t="str"/>
      <x:c r="P71" s="46" t="str">
        <x:v>אחזקה מונעת - מערכת שרפת אמייל.xlsx</x:v>
      </x:c>
      <x:c r="Q71" s="46" t="str">
        <x:v>מסילות וכננת הרמה חשמלית</x:v>
      </x:c>
      <x:c r="R71" s="46" t="n">
        <x:v>70</x:v>
      </x:c>
      <x:c r="S71" s="47" t="b">
        <x:v>1</x:v>
      </x:c>
    </x:row>
    <x:row r="72">
      <x:c r="A72" s="46" t="str">
        <x:v>PM-00069</x:v>
      </x:c>
      <x:c r="B72" s="46" t="str">
        <x:v>בדיקה וניקוי ארון חשמל ע"י אויר</x:v>
      </x:c>
      <x:c r="C72" s="46" t="str">
        <x:v>בדיקה וניקוי ארון חשמל ע"י אויר</x:v>
      </x:c>
      <x:c r="D72" s="46" t="str">
        <x:v>maintenance</x:v>
      </x:c>
      <x:c r="E72" s="46" t="n">
        <x:v>1</x:v>
      </x:c>
      <x:c r="F72" s="46" t="str">
        <x:v>half_year</x:v>
      </x:c>
      <x:c r="G72" s="46" t="n">
        <x:v>20</x:v>
      </x:c>
      <x:c r="H72" s="46" t="str"/>
      <x:c r="I72" s="47" t="b">
        <x:v>0</x:v>
      </x:c>
      <x:c r="J72" s="46" t="str">
        <x:v>medium</x:v>
      </x:c>
      <x:c r="K72" s="53" t="str"/>
      <x:c r="L72" s="53" t="str"/>
      <x:c r="M72" s="46" t="str"/>
      <x:c r="N72" s="46" t="str"/>
      <x:c r="O72" s="46" t="str"/>
      <x:c r="P72" s="46" t="str">
        <x:v>אחזקה מונעת - מערכת שרפת אמייל.xlsx</x:v>
      </x:c>
      <x:c r="Q72" s="46" t="str">
        <x:v>מסילות וכננת הרמה חשמלית</x:v>
      </x:c>
      <x:c r="R72" s="46" t="n">
        <x:v>71</x:v>
      </x:c>
      <x:c r="S72" s="47" t="b">
        <x:v>1</x:v>
      </x:c>
    </x:row>
    <x:row r="73">
      <x:c r="A73" s="46" t="str">
        <x:v>PM-00070</x:v>
      </x:c>
      <x:c r="B73" s="46" t="str">
        <x:v>בדיקת תקינות ויזואלית</x:v>
      </x:c>
      <x:c r="C73" s="46" t="str">
        <x:v>בדיקת תקינות ויזואלית</x:v>
      </x:c>
      <x:c r="D73" s="46" t="str">
        <x:v>operator_monitoring</x:v>
      </x:c>
      <x:c r="E73" s="46" t="n">
        <x:v>1</x:v>
      </x:c>
      <x:c r="F73" s="46" t="str">
        <x:v>day</x:v>
      </x:c>
      <x:c r="G73" s="46" t="n">
        <x:v>10</x:v>
      </x:c>
      <x:c r="H73" s="46" t="str"/>
      <x:c r="I73" s="47" t="b">
        <x:v>0</x:v>
      </x:c>
      <x:c r="J73" s="46" t="str">
        <x:v>medium</x:v>
      </x:c>
      <x:c r="K73" s="53" t="str"/>
      <x:c r="L73" s="53" t="str"/>
      <x:c r="M73" s="46" t="str"/>
      <x:c r="N73" s="46" t="str"/>
      <x:c r="O73" s="46" t="str"/>
      <x:c r="P73" s="46" t="str">
        <x:v>אחזקה מונעת - מערכת שרפת אמייל.xlsx</x:v>
      </x:c>
      <x:c r="Q73" s="46" t="str">
        <x:v>מסוע עלי לשרפת אימייל</x:v>
      </x:c>
      <x:c r="R73" s="46" t="n">
        <x:v>72</x:v>
      </x:c>
      <x:c r="S73" s="47" t="b">
        <x:v>1</x:v>
      </x:c>
    </x:row>
    <x:row r="74">
      <x:c r="A74" s="46" t="str">
        <x:v>PM-00071</x:v>
      </x:c>
      <x:c r="B74" s="46" t="str">
        <x:v>ניקוי מסילות ומסוע</x:v>
      </x:c>
      <x:c r="C74" s="46" t="str">
        <x:v>ניקוי מסילות ומסוע</x:v>
      </x:c>
      <x:c r="D74" s="46" t="str">
        <x:v>operator_monitoring</x:v>
      </x:c>
      <x:c r="E74" s="46" t="n">
        <x:v>1</x:v>
      </x:c>
      <x:c r="F74" s="46" t="str">
        <x:v>month</x:v>
      </x:c>
      <x:c r="G74" s="46" t="n">
        <x:v>180</x:v>
      </x:c>
      <x:c r="H74" s="46" t="str"/>
      <x:c r="I74" s="47" t="b">
        <x:v>0</x:v>
      </x:c>
      <x:c r="J74" s="46" t="str">
        <x:v>medium</x:v>
      </x:c>
      <x:c r="K74" s="53" t="str"/>
      <x:c r="L74" s="53" t="str"/>
      <x:c r="M74" s="46" t="str"/>
      <x:c r="N74" s="46" t="str"/>
      <x:c r="O74" s="46" t="str"/>
      <x:c r="P74" s="46" t="str">
        <x:v>אחזקה מונעת - מערכת שרפת אמייל.xlsx</x:v>
      </x:c>
      <x:c r="Q74" s="46" t="str">
        <x:v>מסוע עלי לשרפת אימייל</x:v>
      </x:c>
      <x:c r="R74" s="46" t="n">
        <x:v>73</x:v>
      </x:c>
      <x:c r="S74" s="47" t="b">
        <x:v>1</x:v>
      </x:c>
    </x:row>
    <x:row r="75">
      <x:c r="A75" s="46" t="str">
        <x:v>PM-00072</x:v>
      </x:c>
      <x:c r="B75" s="46" t="str">
        <x:v>גירוז פיטמות במסבי הגלגלים</x:v>
      </x:c>
      <x:c r="C75" s="46" t="str">
        <x:v>גירוז פיטמות במסבי הגלגלים</x:v>
      </x:c>
      <x:c r="D75" s="46" t="str">
        <x:v>operator_monitoring</x:v>
      </x:c>
      <x:c r="E75" s="46" t="n">
        <x:v>1</x:v>
      </x:c>
      <x:c r="F75" s="46" t="str">
        <x:v>month</x:v>
      </x:c>
      <x:c r="G75" s="46" t="n">
        <x:v>300</x:v>
      </x:c>
      <x:c r="H75" s="46" t="str"/>
      <x:c r="I75" s="47" t="b">
        <x:v>0</x:v>
      </x:c>
      <x:c r="J75" s="46" t="str">
        <x:v>medium</x:v>
      </x:c>
      <x:c r="K75" s="53" t="str"/>
      <x:c r="L75" s="53" t="str"/>
      <x:c r="M75" s="46" t="str"/>
      <x:c r="N75" s="46" t="str"/>
      <x:c r="O75" s="46" t="str"/>
      <x:c r="P75" s="46" t="str">
        <x:v>אחזקה מונעת - מערכת שרפת אמייל.xlsx</x:v>
      </x:c>
      <x:c r="Q75" s="46" t="str">
        <x:v>מסוע עלי לשרפת אימייל</x:v>
      </x:c>
      <x:c r="R75" s="46" t="n">
        <x:v>74</x:v>
      </x:c>
      <x:c r="S75" s="47" t="b">
        <x:v>1</x:v>
      </x:c>
    </x:row>
    <x:row r="76">
      <x:c r="A76" s="46" t="str">
        <x:v>PM-00073</x:v>
      </x:c>
      <x:c r="B76" s="46" t="str">
        <x:v>בדיקת וטיפול שרשרת (החלפת מוטות וחוליות)</x:v>
      </x:c>
      <x:c r="C76" s="46" t="str">
        <x:v>בדיקת וטיפול שרשרת (החלפת מוטות וחוליות)</x:v>
      </x:c>
      <x:c r="D76" s="46" t="str">
        <x:v>maintenance</x:v>
      </x:c>
      <x:c r="E76" s="46" t="n">
        <x:v>1</x:v>
      </x:c>
      <x:c r="F76" s="46" t="str">
        <x:v>month</x:v>
      </x:c>
      <x:c r="G76" s="46" t="n">
        <x:v>180</x:v>
      </x:c>
      <x:c r="H76" s="46" t="str"/>
      <x:c r="I76" s="47" t="b">
        <x:v>0</x:v>
      </x:c>
      <x:c r="J76" s="46" t="str">
        <x:v>medium</x:v>
      </x:c>
      <x:c r="K76" s="53" t="str"/>
      <x:c r="L76" s="53" t="str"/>
      <x:c r="M76" s="46" t="str"/>
      <x:c r="N76" s="46" t="str"/>
      <x:c r="O76" s="46" t="str"/>
      <x:c r="P76" s="46" t="str">
        <x:v>אחזקה מונעת - מערכת שרפת אמייל.xlsx</x:v>
      </x:c>
      <x:c r="Q76" s="46" t="str">
        <x:v>מסוע עלי לשרפת אימייל</x:v>
      </x:c>
      <x:c r="R76" s="46" t="n">
        <x:v>75</x:v>
      </x:c>
      <x:c r="S76" s="47" t="b">
        <x:v>1</x:v>
      </x:c>
    </x:row>
    <x:row r="77">
      <x:c r="A77" s="46" t="str">
        <x:v>PM-00074</x:v>
      </x:c>
      <x:c r="B77" s="46" t="str">
        <x:v>בדיקת קונסטרוקציה</x:v>
      </x:c>
      <x:c r="C77" s="46" t="str">
        <x:v>בדיקת קונסטרוקציה</x:v>
      </x:c>
      <x:c r="D77" s="46" t="str">
        <x:v>maintenance</x:v>
      </x:c>
      <x:c r="E77" s="46" t="n">
        <x:v>1</x:v>
      </x:c>
      <x:c r="F77" s="46" t="str">
        <x:v>month</x:v>
      </x:c>
      <x:c r="G77" s="46" t="n">
        <x:v>20</x:v>
      </x:c>
      <x:c r="H77" s="46" t="str"/>
      <x:c r="I77" s="47" t="b">
        <x:v>0</x:v>
      </x:c>
      <x:c r="J77" s="46" t="str">
        <x:v>medium</x:v>
      </x:c>
      <x:c r="K77" s="53" t="str"/>
      <x:c r="L77" s="53" t="str"/>
      <x:c r="M77" s="46" t="str"/>
      <x:c r="N77" s="46" t="str"/>
      <x:c r="O77" s="46" t="str"/>
      <x:c r="P77" s="46" t="str">
        <x:v>אחזקה מונעת - מערכת שרפת אמייל.xlsx</x:v>
      </x:c>
      <x:c r="Q77" s="46" t="str">
        <x:v>מסוע עלי לשרפת אימייל</x:v>
      </x:c>
      <x:c r="R77" s="46" t="n">
        <x:v>76</x:v>
      </x:c>
      <x:c r="S77" s="47" t="b">
        <x:v>1</x:v>
      </x:c>
    </x:row>
    <x:row r="78">
      <x:c r="A78" s="46" t="str">
        <x:v>PM-00075</x:v>
      </x:c>
      <x:c r="B78" s="46" t="str">
        <x:v>בדיקת יחידת הנעה של המסוע, בדיקת שמן בגיר</x:v>
      </x:c>
      <x:c r="C78" s="46" t="str">
        <x:v>בדיקת יחידת הנעה של המסוע, בדיקת שמן בגיר</x:v>
      </x:c>
      <x:c r="D78" s="46" t="str">
        <x:v>maintenance</x:v>
      </x:c>
      <x:c r="E78" s="46" t="n">
        <x:v>1</x:v>
      </x:c>
      <x:c r="F78" s="46" t="str">
        <x:v>half_year</x:v>
      </x:c>
      <x:c r="G78" s="46" t="n">
        <x:v>120</x:v>
      </x:c>
      <x:c r="H78" s="46" t="str"/>
      <x:c r="I78" s="47" t="b">
        <x:v>0</x:v>
      </x:c>
      <x:c r="J78" s="46" t="str">
        <x:v>medium</x:v>
      </x:c>
      <x:c r="K78" s="53" t="str"/>
      <x:c r="L78" s="53" t="str"/>
      <x:c r="M78" s="46" t="str"/>
      <x:c r="N78" s="46" t="str"/>
      <x:c r="O78" s="46" t="str"/>
      <x:c r="P78" s="46" t="str">
        <x:v>אחזקה מונעת - מערכת שרפת אמייל.xlsx</x:v>
      </x:c>
      <x:c r="Q78" s="46" t="str">
        <x:v>מסוע עלי לשרפת אימייל</x:v>
      </x:c>
      <x:c r="R78" s="46" t="n">
        <x:v>77</x:v>
      </x:c>
      <x:c r="S78" s="47" t="b">
        <x:v>1</x:v>
      </x:c>
    </x:row>
    <x:row r="79">
      <x:c r="A79" s="46" t="str">
        <x:v>PM-00076</x:v>
      </x:c>
      <x:c r="B79" s="46" t="str">
        <x:v>בדיקת מכשיר ניקוי הברגות מאימייל בואקום לתקינות</x:v>
      </x:c>
      <x:c r="C79" s="46" t="str">
        <x:v>בדיקת מכשיר ניקוי הברגות מאימייל בואקום לתקינות</x:v>
      </x:c>
      <x:c r="D79" s="46" t="str">
        <x:v>maintenance</x:v>
      </x:c>
      <x:c r="E79" s="46" t="n">
        <x:v>1</x:v>
      </x:c>
      <x:c r="F79" s="46" t="str">
        <x:v>half_year</x:v>
      </x:c>
      <x:c r="G79" s="46" t="n">
        <x:v>15</x:v>
      </x:c>
      <x:c r="H79" s="46" t="str"/>
      <x:c r="I79" s="47" t="b">
        <x:v>0</x:v>
      </x:c>
      <x:c r="J79" s="46" t="str">
        <x:v>medium</x:v>
      </x:c>
      <x:c r="K79" s="53" t="str"/>
      <x:c r="L79" s="53" t="str"/>
      <x:c r="M79" s="46" t="str"/>
      <x:c r="N79" s="46" t="str"/>
      <x:c r="O79" s="46" t="str"/>
      <x:c r="P79" s="46" t="str">
        <x:v>אחזקה מונעת - מערכת שרפת אמייל.xlsx</x:v>
      </x:c>
      <x:c r="Q79" s="46" t="str">
        <x:v>מסוע עלי לשרפת אימייל</x:v>
      </x:c>
      <x:c r="R79" s="46" t="n">
        <x:v>78</x:v>
      </x:c>
      <x:c r="S79" s="47" t="b">
        <x:v>1</x:v>
      </x:c>
    </x:row>
    <x:row r="80">
      <x:c r="A80" s="46" t="str">
        <x:v>PM-00077</x:v>
      </x:c>
      <x:c r="B80" s="46" t="str">
        <x:v>החלפת שמן בגיר</x:v>
      </x:c>
      <x:c r="C80" s="46" t="str">
        <x:v>החלפת שמן בגיר</x:v>
      </x:c>
      <x:c r="D80" s="46" t="str">
        <x:v>maintenance</x:v>
      </x:c>
      <x:c r="E80" s="46" t="n">
        <x:v>1</x:v>
      </x:c>
      <x:c r="F80" s="46" t="str">
        <x:v>year</x:v>
      </x:c>
      <x:c r="G80" s="46" t="n">
        <x:v>60</x:v>
      </x:c>
      <x:c r="H80" s="46" t="str"/>
      <x:c r="I80" s="47" t="b">
        <x:v>0</x:v>
      </x:c>
      <x:c r="J80" s="46" t="str">
        <x:v>medium</x:v>
      </x:c>
      <x:c r="K80" s="53" t="str"/>
      <x:c r="L80" s="53" t="str"/>
      <x:c r="M80" s="46" t="str"/>
      <x:c r="N80" s="46" t="str"/>
      <x:c r="O80" s="46" t="str"/>
      <x:c r="P80" s="46" t="str">
        <x:v>אחזקה מונעת - מערכת שרפת אמייל.xlsx</x:v>
      </x:c>
      <x:c r="Q80" s="46" t="str">
        <x:v>מסוע עלי לשרפת אימייל</x:v>
      </x:c>
      <x:c r="R80" s="46" t="n">
        <x:v>79</x:v>
      </x:c>
      <x:c r="S80" s="47" t="b">
        <x:v>1</x:v>
      </x:c>
    </x:row>
    <x:row r="81">
      <x:c r="A81" s="46" t="str">
        <x:v>PM-00078</x:v>
      </x:c>
      <x:c r="B81" s="46" t="str">
        <x:v>מתיחת מסוע (שרשרת)</x:v>
      </x:c>
      <x:c r="C81" s="46" t="str">
        <x:v>מתיחת מסוע (שרשרת)</x:v>
      </x:c>
      <x:c r="D81" s="46" t="str">
        <x:v>maintenance</x:v>
      </x:c>
      <x:c r="E81" s="46" t="n">
        <x:v>1</x:v>
      </x:c>
      <x:c r="F81" s="46" t="str">
        <x:v>year</x:v>
      </x:c>
      <x:c r="G81" s="46" t="n">
        <x:v>120</x:v>
      </x:c>
      <x:c r="H81" s="46" t="str"/>
      <x:c r="I81" s="47" t="b">
        <x:v>0</x:v>
      </x:c>
      <x:c r="J81" s="46" t="str">
        <x:v>medium</x:v>
      </x:c>
      <x:c r="K81" s="53" t="str"/>
      <x:c r="L81" s="53" t="str"/>
      <x:c r="M81" s="46" t="str"/>
      <x:c r="N81" s="46" t="str"/>
      <x:c r="O81" s="46" t="str"/>
      <x:c r="P81" s="46" t="str">
        <x:v>אחזקה מונעת - מערכת שרפת אמייל.xlsx</x:v>
      </x:c>
      <x:c r="Q81" s="46" t="str">
        <x:v>מסוע עלי לשרפת אימייל</x:v>
      </x:c>
      <x:c r="R81" s="46" t="n">
        <x:v>80</x:v>
      </x:c>
      <x:c r="S81" s="47" t="b">
        <x:v>1</x:v>
      </x:c>
    </x:row>
    <x:row r="82">
      <x:c r="A82" s="46" t="str">
        <x:v>PM-00079</x:v>
      </x:c>
      <x:c r="B82" s="46" t="str">
        <x:v>בדיקת אביזרי חשמל לתקינות (כולל כבלים ומחברים)</x:v>
      </x:c>
      <x:c r="C82" s="46" t="str">
        <x:v>בדיקת אביזרי חשמל לתקינות (כולל כבלים ומחברים)</x:v>
      </x:c>
      <x:c r="D82" s="46" t="str">
        <x:v>maintenance</x:v>
      </x:c>
      <x:c r="E82" s="46" t="n">
        <x:v>1</x:v>
      </x:c>
      <x:c r="F82" s="46" t="str">
        <x:v>month</x:v>
      </x:c>
      <x:c r="G82" s="46" t="n">
        <x:v>20</x:v>
      </x:c>
      <x:c r="H82" s="46" t="str"/>
      <x:c r="I82" s="47" t="b">
        <x:v>0</x:v>
      </x:c>
      <x:c r="J82" s="46" t="str">
        <x:v>medium</x:v>
      </x:c>
      <x:c r="K82" s="53" t="str"/>
      <x:c r="L82" s="53" t="str"/>
      <x:c r="M82" s="46" t="str"/>
      <x:c r="N82" s="46" t="str"/>
      <x:c r="O82" s="46" t="str"/>
      <x:c r="P82" s="46" t="str">
        <x:v>אחזקה מונעת - מערכת שרפת אמייל.xlsx</x:v>
      </x:c>
      <x:c r="Q82" s="46" t="str">
        <x:v>מסוע עלי לשרפת אימייל</x:v>
      </x:c>
      <x:c r="R82" s="46" t="n">
        <x:v>81</x:v>
      </x:c>
      <x:c r="S82" s="47" t="b">
        <x:v>1</x:v>
      </x:c>
    </x:row>
    <x:row r="83">
      <x:c r="A83" s="46" t="str">
        <x:v>PM-00080</x:v>
      </x:c>
      <x:c r="B83" s="46" t="str">
        <x:v>בדיקה וניקוי ארון חשמל ע"י אויר</x:v>
      </x:c>
      <x:c r="C83" s="46" t="str">
        <x:v>בדיקה וניקוי ארון חשמל ע"י אויר</x:v>
      </x:c>
      <x:c r="D83" s="46" t="str">
        <x:v>maintenance</x:v>
      </x:c>
      <x:c r="E83" s="46" t="n">
        <x:v>1</x:v>
      </x:c>
      <x:c r="F83" s="46" t="str">
        <x:v>month</x:v>
      </x:c>
      <x:c r="G83" s="46" t="n">
        <x:v>20</x:v>
      </x:c>
      <x:c r="H83" s="46" t="str"/>
      <x:c r="I83" s="47" t="b">
        <x:v>0</x:v>
      </x:c>
      <x:c r="J83" s="46" t="str">
        <x:v>medium</x:v>
      </x:c>
      <x:c r="K83" s="53" t="str"/>
      <x:c r="L83" s="53" t="str"/>
      <x:c r="M83" s="46" t="str"/>
      <x:c r="N83" s="46" t="str"/>
      <x:c r="O83" s="46" t="str"/>
      <x:c r="P83" s="46" t="str">
        <x:v>אחזקה מונעת - מערכת שרפת אמייל.xlsx</x:v>
      </x:c>
      <x:c r="Q83" s="46" t="str">
        <x:v>מסוע עלי לשרפת אימייל</x:v>
      </x:c>
      <x:c r="R83" s="46" t="n">
        <x:v>82</x:v>
      </x:c>
      <x:c r="S83" s="47" t="b">
        <x:v>1</x:v>
      </x:c>
    </x:row>
    <x:row r="84">
      <x:c r="A84" s="46" t="str">
        <x:v>PM-00081</x:v>
      </x:c>
      <x:c r="B84" s="46" t="str">
        <x:v>בדיקת תקינות המבערים, בדיקה ויזואלית במכשירים</x:v>
      </x:c>
      <x:c r="C84" s="46" t="str">
        <x:v>בדיקת תקינות המבערים, בדיקה ויזואלית במכשירים</x:v>
      </x:c>
      <x:c r="D84" s="46" t="str">
        <x:v>operator_monitoring</x:v>
      </x:c>
      <x:c r="E84" s="46" t="n">
        <x:v>1</x:v>
      </x:c>
      <x:c r="F84" s="46" t="str">
        <x:v>day</x:v>
      </x:c>
      <x:c r="G84" s="46" t="n">
        <x:v>15</x:v>
      </x:c>
      <x:c r="H84" s="46" t="str"/>
      <x:c r="I84" s="47" t="b">
        <x:v>0</x:v>
      </x:c>
      <x:c r="J84" s="46" t="str">
        <x:v>medium</x:v>
      </x:c>
      <x:c r="K84" s="53" t="str"/>
      <x:c r="L84" s="53" t="str"/>
      <x:c r="M84" s="46" t="str"/>
      <x:c r="N84" s="46" t="str"/>
      <x:c r="O84" s="46" t="str"/>
      <x:c r="P84" s="46" t="str">
        <x:v>אחזקה מונעת - מערכת שרפת אמייל.xlsx</x:v>
      </x:c>
      <x:c r="Q84" s="46" t="str">
        <x:v>תנור שרפת אימייל</x:v>
      </x:c>
      <x:c r="R84" s="46" t="n">
        <x:v>83</x:v>
      </x:c>
      <x:c r="S84" s="47" t="b">
        <x:v>1</x:v>
      </x:c>
    </x:row>
    <x:row r="85">
      <x:c r="A85" s="46" t="str">
        <x:v>PM-00082</x:v>
      </x:c>
      <x:c r="B85" s="46" t="str">
        <x:v>ניקוי רצפת התנור</x:v>
      </x:c>
      <x:c r="C85" s="46" t="str">
        <x:v>ניקוי רצפת התנור</x:v>
      </x:c>
      <x:c r="D85" s="46" t="str">
        <x:v>operator_monitoring</x:v>
      </x:c>
      <x:c r="E85" s="46" t="n">
        <x:v>1</x:v>
      </x:c>
      <x:c r="F85" s="46" t="str">
        <x:v>month</x:v>
      </x:c>
      <x:c r="G85" s="46" t="n">
        <x:v>120</x:v>
      </x:c>
      <x:c r="H85" s="46" t="str"/>
      <x:c r="I85" s="47" t="b">
        <x:v>0</x:v>
      </x:c>
      <x:c r="J85" s="46" t="str">
        <x:v>medium</x:v>
      </x:c>
      <x:c r="K85" s="53" t="str"/>
      <x:c r="L85" s="53" t="str"/>
      <x:c r="M85" s="46" t="str"/>
      <x:c r="N85" s="46" t="str"/>
      <x:c r="O85" s="46" t="str"/>
      <x:c r="P85" s="46" t="str">
        <x:v>אחזקה מונעת - מערכת שרפת אמייל.xlsx</x:v>
      </x:c>
      <x:c r="Q85" s="46" t="str">
        <x:v>תנור שרפת אימייל</x:v>
      </x:c>
      <x:c r="R85" s="46" t="n">
        <x:v>84</x:v>
      </x:c>
      <x:c r="S85" s="47" t="b">
        <x:v>1</x:v>
      </x:c>
    </x:row>
    <x:row r="86">
      <x:c r="A86" s="46" t="str">
        <x:v>PM-00083</x:v>
      </x:c>
      <x:c r="B86" s="46" t="str">
        <x:v>בדיקת זליגות גז ללא מכשיר</x:v>
      </x:c>
      <x:c r="C86" s="46" t="str">
        <x:v>בדיקת זליגות גז ללא מכשיר</x:v>
      </x:c>
      <x:c r="D86" s="46" t="str">
        <x:v>maintenance</x:v>
      </x:c>
      <x:c r="E86" s="46" t="n">
        <x:v>1</x:v>
      </x:c>
      <x:c r="F86" s="46" t="str">
        <x:v>week</x:v>
      </x:c>
      <x:c r="G86" s="46" t="n">
        <x:v>20</x:v>
      </x:c>
      <x:c r="H86" s="46" t="str"/>
      <x:c r="I86" s="47" t="b">
        <x:v>0</x:v>
      </x:c>
      <x:c r="J86" s="46" t="str">
        <x:v>medium</x:v>
      </x:c>
      <x:c r="K86" s="53" t="str"/>
      <x:c r="L86" s="53" t="str"/>
      <x:c r="M86" s="46" t="str"/>
      <x:c r="N86" s="46" t="str"/>
      <x:c r="O86" s="46" t="str"/>
      <x:c r="P86" s="46" t="str">
        <x:v>אחזקה מונעת - מערכת שרפת אמייל.xlsx</x:v>
      </x:c>
      <x:c r="Q86" s="46" t="str">
        <x:v>תנור שרפת אימייל</x:v>
      </x:c>
      <x:c r="R86" s="46" t="n">
        <x:v>85</x:v>
      </x:c>
      <x:c r="S86" s="47" t="b">
        <x:v>1</x:v>
      </x:c>
    </x:row>
    <x:row r="87">
      <x:c r="A87" s="46" t="str">
        <x:v>PM-00084</x:v>
      </x:c>
      <x:c r="B87" s="46" t="str">
        <x:v>בדיקה וניקוי מבער לא תקין (לפי צורך)</x:v>
      </x:c>
      <x:c r="C87" s="46" t="str">
        <x:v>בדיקה וניקוי מבער לא תקין (לפי צורך)</x:v>
      </x:c>
      <x:c r="D87" s="46" t="str">
        <x:v>maintenance</x:v>
      </x:c>
      <x:c r="E87" s="46" t="n">
        <x:v>1</x:v>
      </x:c>
      <x:c r="F87" s="46" t="str">
        <x:v>week</x:v>
      </x:c>
      <x:c r="G87" s="46" t="n">
        <x:v>180</x:v>
      </x:c>
      <x:c r="H87" s="46" t="str"/>
      <x:c r="I87" s="47" t="b">
        <x:v>0</x:v>
      </x:c>
      <x:c r="J87" s="46" t="str">
        <x:v>medium</x:v>
      </x:c>
      <x:c r="K87" s="53" t="str"/>
      <x:c r="L87" s="53" t="str"/>
      <x:c r="M87" s="46" t="str"/>
      <x:c r="N87" s="46" t="str"/>
      <x:c r="O87" s="46" t="str"/>
      <x:c r="P87" s="46" t="str">
        <x:v>אחזקה מונעת - מערכת שרפת אמייל.xlsx</x:v>
      </x:c>
      <x:c r="Q87" s="46" t="str">
        <x:v>תנור שרפת אימייל</x:v>
      </x:c>
      <x:c r="R87" s="46" t="n">
        <x:v>86</x:v>
      </x:c>
      <x:c r="S87" s="47" t="b">
        <x:v>1</x:v>
      </x:c>
    </x:row>
    <x:row r="88">
      <x:c r="A88" s="46" t="str">
        <x:v>PM-00085</x:v>
      </x:c>
      <x:c r="B88" s="46" t="str">
        <x:v>ניקוי וגירוז מיסבים במפוחים</x:v>
      </x:c>
      <x:c r="C88" s="46" t="str">
        <x:v>ניקוי וגירוז מיסבים במפוחים</x:v>
      </x:c>
      <x:c r="D88" s="46" t="str">
        <x:v>maintenance</x:v>
      </x:c>
      <x:c r="E88" s="46" t="n">
        <x:v>1</x:v>
      </x:c>
      <x:c r="F88" s="46" t="str">
        <x:v>week</x:v>
      </x:c>
      <x:c r="G88" s="46" t="n">
        <x:v>10</x:v>
      </x:c>
      <x:c r="H88" s="46" t="str"/>
      <x:c r="I88" s="47" t="b">
        <x:v>0</x:v>
      </x:c>
      <x:c r="J88" s="46" t="str">
        <x:v>medium</x:v>
      </x:c>
      <x:c r="K88" s="53" t="str"/>
      <x:c r="L88" s="53" t="str"/>
      <x:c r="M88" s="46" t="str"/>
      <x:c r="N88" s="46" t="str"/>
      <x:c r="O88" s="46" t="str">
        <x:v>גריז מיוחד, עמיד בטמפ' גבוהות</x:v>
      </x:c>
      <x:c r="P88" s="46" t="str">
        <x:v>אחזקה מונעת - מערכת שרפת אמייל.xlsx</x:v>
      </x:c>
      <x:c r="Q88" s="46" t="str">
        <x:v>תנור שרפת אימייל</x:v>
      </x:c>
      <x:c r="R88" s="46" t="n">
        <x:v>87</x:v>
      </x:c>
      <x:c r="S88" s="47" t="b">
        <x:v>1</x:v>
      </x:c>
    </x:row>
    <x:row r="89">
      <x:c r="A89" s="46" t="str">
        <x:v>PM-00086</x:v>
      </x:c>
      <x:c r="B89" s="46" t="str">
        <x:v>ניקוי וגירוז מיסב הקרוסלה על התנור</x:v>
      </x:c>
      <x:c r="C89" s="46" t="str">
        <x:v>ניקוי וגירוז מיסב הקרוסלה על התנור</x:v>
      </x:c>
      <x:c r="D89" s="46" t="str">
        <x:v>maintenance</x:v>
      </x:c>
      <x:c r="E89" s="46" t="n">
        <x:v>1</x:v>
      </x:c>
      <x:c r="F89" s="46" t="str">
        <x:v>week</x:v>
      </x:c>
      <x:c r="G89" s="46" t="n">
        <x:v>10</x:v>
      </x:c>
      <x:c r="H89" s="46" t="str"/>
      <x:c r="I89" s="47" t="b">
        <x:v>0</x:v>
      </x:c>
      <x:c r="J89" s="46" t="str">
        <x:v>medium</x:v>
      </x:c>
      <x:c r="K89" s="53" t="str"/>
      <x:c r="L89" s="53" t="str"/>
      <x:c r="M89" s="46" t="str"/>
      <x:c r="N89" s="46" t="str"/>
      <x:c r="O89" s="46" t="str"/>
      <x:c r="P89" s="46" t="str">
        <x:v>אחזקה מונעת - מערכת שרפת אמייל.xlsx</x:v>
      </x:c>
      <x:c r="Q89" s="46" t="str">
        <x:v>תנור שרפת אימייל</x:v>
      </x:c>
      <x:c r="R89" s="46" t="n">
        <x:v>88</x:v>
      </x:c>
      <x:c r="S89" s="47" t="b">
        <x:v>1</x:v>
      </x:c>
    </x:row>
    <x:row r="90">
      <x:c r="A90" s="46" t="str">
        <x:v>PM-00087</x:v>
      </x:c>
      <x:c r="B90" s="46" t="str">
        <x:v>החלפת מבער ורדיאנט לפי צורך</x:v>
      </x:c>
      <x:c r="C90" s="46" t="str">
        <x:v>החלפת מבער ורדיאנט לפי צורך</x:v>
      </x:c>
      <x:c r="D90" s="46" t="str">
        <x:v>maintenance</x:v>
      </x:c>
      <x:c r="E90" s="46" t="n">
        <x:v>1</x:v>
      </x:c>
      <x:c r="F90" s="46" t="str">
        <x:v>week</x:v>
      </x:c>
      <x:c r="G90" s="46" t="n">
        <x:v>180</x:v>
      </x:c>
      <x:c r="H90" s="46" t="str"/>
      <x:c r="I90" s="47" t="b">
        <x:v>0</x:v>
      </x:c>
      <x:c r="J90" s="46" t="str">
        <x:v>medium</x:v>
      </x:c>
      <x:c r="K90" s="53" t="str"/>
      <x:c r="L90" s="53" t="str"/>
      <x:c r="M90" s="46" t="str"/>
      <x:c r="N90" s="46" t="str">
        <x:v>מבער ורדיאנט חדש</x:v>
      </x:c>
      <x:c r="O90" s="46" t="str">
        <x:v>נדרשת יצור רדיאנט מראש</x:v>
      </x:c>
      <x:c r="P90" s="46" t="str">
        <x:v>אחזקה מונעת - מערכת שרפת אמייל.xlsx</x:v>
      </x:c>
      <x:c r="Q90" s="46" t="str">
        <x:v>תנור שרפת אימייל</x:v>
      </x:c>
      <x:c r="R90" s="46" t="n">
        <x:v>89</x:v>
      </x:c>
      <x:c r="S90" s="47" t="b">
        <x:v>1</x:v>
      </x:c>
    </x:row>
    <x:row r="91">
      <x:c r="A91" s="46" t="str">
        <x:v>PM-00088</x:v>
      </x:c>
      <x:c r="B91" s="46" t="str">
        <x:v>בדיקת מצב מצמדים במפוחים</x:v>
      </x:c>
      <x:c r="C91" s="46" t="str">
        <x:v>בדיקת מצב מצמדים במפוחים</x:v>
      </x:c>
      <x:c r="D91" s="46" t="str">
        <x:v>maintenance</x:v>
      </x:c>
      <x:c r="E91" s="46" t="n">
        <x:v>1</x:v>
      </x:c>
      <x:c r="F91" s="46" t="str">
        <x:v>week</x:v>
      </x:c>
      <x:c r="G91" s="46" t="n">
        <x:v>10</x:v>
      </x:c>
      <x:c r="H91" s="46" t="str"/>
      <x:c r="I91" s="47" t="b">
        <x:v>0</x:v>
      </x:c>
      <x:c r="J91" s="46" t="str">
        <x:v>medium</x:v>
      </x:c>
      <x:c r="K91" s="53" t="str"/>
      <x:c r="L91" s="53" t="str"/>
      <x:c r="M91" s="46" t="str"/>
      <x:c r="N91" s="46" t="str"/>
      <x:c r="O91" s="46" t="str"/>
      <x:c r="P91" s="46" t="str">
        <x:v>אחזקה מונעת - מערכת שרפת אמייל.xlsx</x:v>
      </x:c>
      <x:c r="Q91" s="46" t="str">
        <x:v>תנור שרפת אימייל</x:v>
      </x:c>
      <x:c r="R91" s="46" t="n">
        <x:v>90</x:v>
      </x:c>
      <x:c r="S91" s="47" t="b">
        <x:v>1</x:v>
      </x:c>
    </x:row>
    <x:row r="92">
      <x:c r="A92" s="46" t="str">
        <x:v>PM-00089</x:v>
      </x:c>
      <x:c r="B92" s="46" t="str">
        <x:v>בדיקת זליגות גז עם מכשיר</x:v>
      </x:c>
      <x:c r="C92" s="46" t="str">
        <x:v>בדיקת זליגות גז עם מכשיר</x:v>
      </x:c>
      <x:c r="D92" s="46" t="str">
        <x:v>maintenance</x:v>
      </x:c>
      <x:c r="E92" s="46" t="n">
        <x:v>1</x:v>
      </x:c>
      <x:c r="F92" s="46" t="str">
        <x:v>month</x:v>
      </x:c>
      <x:c r="G92" s="46" t="n">
        <x:v>30</x:v>
      </x:c>
      <x:c r="H92" s="46" t="str"/>
      <x:c r="I92" s="47" t="b">
        <x:v>0</x:v>
      </x:c>
      <x:c r="J92" s="46" t="str">
        <x:v>medium</x:v>
      </x:c>
      <x:c r="K92" s="53" t="str"/>
      <x:c r="L92" s="53" t="str"/>
      <x:c r="M92" s="46" t="str"/>
      <x:c r="N92" s="46" t="str"/>
      <x:c r="O92" s="46" t="str">
        <x:v>ע"י טכנאי גז מוסמך ניסים</x:v>
      </x:c>
      <x:c r="P92" s="46" t="str">
        <x:v>אחזקה מונעת - מערכת שרפת אמייל.xlsx</x:v>
      </x:c>
      <x:c r="Q92" s="46" t="str">
        <x:v>תנור שרפת אימייל</x:v>
      </x:c>
      <x:c r="R92" s="46" t="n">
        <x:v>91</x:v>
      </x:c>
      <x:c r="S92" s="47" t="b">
        <x:v>1</x:v>
      </x:c>
    </x:row>
    <x:row r="93">
      <x:c r="A93" s="46" t="str">
        <x:v>PM-00090</x:v>
      </x:c>
      <x:c r="B93" s="46" t="str">
        <x:v>כניסה לתנור, בדיקת תקינות בידוד מבפנים</x:v>
      </x:c>
      <x:c r="C93" s="46" t="str">
        <x:v>כניסה לתנור, בדיקת תקינות בידוד מבפנים</x:v>
      </x:c>
      <x:c r="D93" s="46" t="str">
        <x:v>maintenance</x:v>
      </x:c>
      <x:c r="E93" s="46" t="n">
        <x:v>1</x:v>
      </x:c>
      <x:c r="F93" s="46" t="str">
        <x:v>month</x:v>
      </x:c>
      <x:c r="G93" s="46" t="n">
        <x:v>30</x:v>
      </x:c>
      <x:c r="H93" s="46" t="str"/>
      <x:c r="I93" s="47" t="b">
        <x:v>0</x:v>
      </x:c>
      <x:c r="J93" s="46" t="str">
        <x:v>medium</x:v>
      </x:c>
      <x:c r="K93" s="53" t="str"/>
      <x:c r="L93" s="53" t="str"/>
      <x:c r="M93" s="46" t="str"/>
      <x:c r="N93" s="46" t="str"/>
      <x:c r="O93" s="46" t="str"/>
      <x:c r="P93" s="46" t="str">
        <x:v>אחזקה מונעת - מערכת שרפת אמייל.xlsx</x:v>
      </x:c>
      <x:c r="Q93" s="46" t="str">
        <x:v>תנור שרפת אימייל</x:v>
      </x:c>
      <x:c r="R93" s="46" t="n">
        <x:v>92</x:v>
      </x:c>
      <x:c r="S93" s="47" t="b">
        <x:v>1</x:v>
      </x:c>
    </x:row>
    <x:row r="94">
      <x:c r="A94" s="46" t="str">
        <x:v>PM-00091</x:v>
      </x:c>
      <x:c r="B94" s="46" t="str">
        <x:v>בדיקת תקינות לצינורות רדיאנט פנימי וחיצוני</x:v>
      </x:c>
      <x:c r="C94" s="46" t="str">
        <x:v>בדיקת תקינות לצינורות רדיאנט פנימי וחיצוני</x:v>
      </x:c>
      <x:c r="D94" s="46" t="str">
        <x:v>maintenance</x:v>
      </x:c>
      <x:c r="E94" s="46" t="n">
        <x:v>1</x:v>
      </x:c>
      <x:c r="F94" s="46" t="str">
        <x:v>month</x:v>
      </x:c>
      <x:c r="G94" s="46" t="n">
        <x:v>20</x:v>
      </x:c>
      <x:c r="H94" s="46" t="str"/>
      <x:c r="I94" s="47" t="b">
        <x:v>0</x:v>
      </x:c>
      <x:c r="J94" s="46" t="str">
        <x:v>medium</x:v>
      </x:c>
      <x:c r="K94" s="53" t="str"/>
      <x:c r="L94" s="53" t="str"/>
      <x:c r="M94" s="46" t="str"/>
      <x:c r="N94" s="46" t="str"/>
      <x:c r="O94" s="46" t="str"/>
      <x:c r="P94" s="46" t="str">
        <x:v>אחזקה מונעת - מערכת שרפת אמייל.xlsx</x:v>
      </x:c>
      <x:c r="Q94" s="46" t="str">
        <x:v>תנור שרפת אימייל</x:v>
      </x:c>
      <x:c r="R94" s="46" t="n">
        <x:v>93</x:v>
      </x:c>
      <x:c r="S94" s="47" t="b">
        <x:v>1</x:v>
      </x:c>
    </x:row>
    <x:row r="95">
      <x:c r="A95" s="46" t="str">
        <x:v>PM-00092</x:v>
      </x:c>
      <x:c r="B95" s="46" t="str">
        <x:v>בדוק מפוחים לתקינות רעשים</x:v>
      </x:c>
      <x:c r="C95" s="46" t="str">
        <x:v>בדוק מפוחים לתקינות רעשים</x:v>
      </x:c>
      <x:c r="D95" s="46" t="str">
        <x:v>maintenance</x:v>
      </x:c>
      <x:c r="E95" s="46" t="n">
        <x:v>1</x:v>
      </x:c>
      <x:c r="F95" s="46" t="str">
        <x:v>month</x:v>
      </x:c>
      <x:c r="G95" s="46" t="n">
        <x:v>10</x:v>
      </x:c>
      <x:c r="H95" s="46" t="str"/>
      <x:c r="I95" s="47" t="b">
        <x:v>0</x:v>
      </x:c>
      <x:c r="J95" s="46" t="str">
        <x:v>medium</x:v>
      </x:c>
      <x:c r="K95" s="53" t="str"/>
      <x:c r="L95" s="53" t="str"/>
      <x:c r="M95" s="46" t="str"/>
      <x:c r="N95" s="46" t="str"/>
      <x:c r="O95" s="46" t="str"/>
      <x:c r="P95" s="46" t="str">
        <x:v>אחזקה מונעת - מערכת שרפת אמייל.xlsx</x:v>
      </x:c>
      <x:c r="Q95" s="46" t="str">
        <x:v>תנור שרפת אימייל</x:v>
      </x:c>
      <x:c r="R95" s="46" t="n">
        <x:v>94</x:v>
      </x:c>
      <x:c r="S95" s="47" t="b">
        <x:v>1</x:v>
      </x:c>
    </x:row>
    <x:row r="96">
      <x:c r="A96" s="46" t="str">
        <x:v>PM-00093</x:v>
      </x:c>
      <x:c r="B96" s="46" t="str">
        <x:v>ניקוז מלקודות גז גפ"ם</x:v>
      </x:c>
      <x:c r="C96" s="46" t="str">
        <x:v>ניקוז מלקודות גז גפ"ם</x:v>
      </x:c>
      <x:c r="D96" s="46" t="str">
        <x:v>maintenance</x:v>
      </x:c>
      <x:c r="E96" s="46" t="n">
        <x:v>1</x:v>
      </x:c>
      <x:c r="F96" s="46" t="str">
        <x:v>quarter</x:v>
      </x:c>
      <x:c r="G96" s="46" t="n">
        <x:v>15</x:v>
      </x:c>
      <x:c r="H96" s="46" t="str"/>
      <x:c r="I96" s="47" t="b">
        <x:v>0</x:v>
      </x:c>
      <x:c r="J96" s="46" t="str">
        <x:v>medium</x:v>
      </x:c>
      <x:c r="K96" s="53" t="str"/>
      <x:c r="L96" s="53" t="str"/>
      <x:c r="M96" s="46" t="str"/>
      <x:c r="N96" s="46" t="str"/>
      <x:c r="O96" s="46" t="str">
        <x:v>ע"י טכנאי גז שמוליק</x:v>
      </x:c>
      <x:c r="P96" s="46" t="str">
        <x:v>אחזקה מונעת - מערכת שרפת אמייל.xlsx</x:v>
      </x:c>
      <x:c r="Q96" s="46" t="str">
        <x:v>תנור שרפת אימייל</x:v>
      </x:c>
      <x:c r="R96" s="46" t="n">
        <x:v>95</x:v>
      </x:c>
      <x:c r="S96" s="47" t="b">
        <x:v>1</x:v>
      </x:c>
    </x:row>
    <x:row r="97">
      <x:c r="A97" s="46" t="str">
        <x:v>PM-00094</x:v>
      </x:c>
      <x:c r="B97" s="46" t="str">
        <x:v>בדיקת מאידים</x:v>
      </x:c>
      <x:c r="C97" s="46" t="str">
        <x:v>בדיקת מאידים</x:v>
      </x:c>
      <x:c r="D97" s="46" t="str">
        <x:v>maintenance</x:v>
      </x:c>
      <x:c r="E97" s="46" t="n">
        <x:v>1</x:v>
      </x:c>
      <x:c r="F97" s="46" t="str">
        <x:v>quarter</x:v>
      </x:c>
      <x:c r="G97" s="46" t="n">
        <x:v>20</x:v>
      </x:c>
      <x:c r="H97" s="46" t="str"/>
      <x:c r="I97" s="47" t="b">
        <x:v>0</x:v>
      </x:c>
      <x:c r="J97" s="46" t="str">
        <x:v>medium</x:v>
      </x:c>
      <x:c r="K97" s="53" t="str"/>
      <x:c r="L97" s="53" t="str"/>
      <x:c r="M97" s="46" t="str"/>
      <x:c r="N97" s="46" t="str"/>
      <x:c r="O97" s="46" t="str">
        <x:v>ע"י טכנאי גז שמוליק</x:v>
      </x:c>
      <x:c r="P97" s="46" t="str">
        <x:v>אחזקה מונעת - מערכת שרפת אמייל.xlsx</x:v>
      </x:c>
      <x:c r="Q97" s="46" t="str">
        <x:v>תנור שרפת אימייל</x:v>
      </x:c>
      <x:c r="R97" s="46" t="n">
        <x:v>96</x:v>
      </x:c>
      <x:c r="S97" s="47" t="b">
        <x:v>1</x:v>
      </x:c>
    </x:row>
    <x:row r="98">
      <x:c r="A98" s="46" t="str">
        <x:v>PM-00095</x:v>
      </x:c>
      <x:c r="B98" s="46" t="str">
        <x:v>ניקוי מסננים במפוחים</x:v>
      </x:c>
      <x:c r="C98" s="46" t="str">
        <x:v>ניקוי מסננים במפוחים</x:v>
      </x:c>
      <x:c r="D98" s="46" t="str">
        <x:v>maintenance</x:v>
      </x:c>
      <x:c r="E98" s="46" t="n">
        <x:v>1</x:v>
      </x:c>
      <x:c r="F98" s="46" t="str">
        <x:v>half_year</x:v>
      </x:c>
      <x:c r="G98" s="46" t="n">
        <x:v>60</x:v>
      </x:c>
      <x:c r="H98" s="46" t="str"/>
      <x:c r="I98" s="47" t="b">
        <x:v>0</x:v>
      </x:c>
      <x:c r="J98" s="46" t="str">
        <x:v>medium</x:v>
      </x:c>
      <x:c r="K98" s="53" t="str"/>
      <x:c r="L98" s="53" t="str"/>
      <x:c r="M98" s="46" t="str"/>
      <x:c r="N98" s="46" t="str"/>
      <x:c r="O98" s="46" t="str"/>
      <x:c r="P98" s="46" t="str">
        <x:v>אחזקה מונעת - מערכת שרפת אמייל.xlsx</x:v>
      </x:c>
      <x:c r="Q98" s="46" t="str">
        <x:v>תנור שרפת אימייל</x:v>
      </x:c>
      <x:c r="R98" s="46" t="n">
        <x:v>97</x:v>
      </x:c>
      <x:c r="S98" s="47" t="b">
        <x:v>1</x:v>
      </x:c>
    </x:row>
    <x:row r="99">
      <x:c r="A99" s="46" t="str">
        <x:v>PM-00096</x:v>
      </x:c>
      <x:c r="B99" s="46" t="str">
        <x:v>ניקוי מסננים במפוחי תוספת אויר למבערים</x:v>
      </x:c>
      <x:c r="C99" s="46" t="str">
        <x:v>ניקוי מסננים במפוחי תוספת אויר למבערים</x:v>
      </x:c>
      <x:c r="D99" s="46" t="str">
        <x:v>maintenance</x:v>
      </x:c>
      <x:c r="E99" s="46" t="n">
        <x:v>1</x:v>
      </x:c>
      <x:c r="F99" s="46" t="str">
        <x:v>half_year</x:v>
      </x:c>
      <x:c r="G99" s="46" t="n">
        <x:v>60</x:v>
      </x:c>
      <x:c r="H99" s="46" t="str"/>
      <x:c r="I99" s="47" t="b">
        <x:v>0</x:v>
      </x:c>
      <x:c r="J99" s="46" t="str">
        <x:v>medium</x:v>
      </x:c>
      <x:c r="K99" s="53" t="str"/>
      <x:c r="L99" s="53" t="str"/>
      <x:c r="M99" s="46" t="str"/>
      <x:c r="N99" s="46" t="str"/>
      <x:c r="O99" s="46" t="str"/>
      <x:c r="P99" s="46" t="str">
        <x:v>אחזקה מונעת - מערכת שרפת אמייל.xlsx</x:v>
      </x:c>
      <x:c r="Q99" s="46" t="str">
        <x:v>תנור שרפת אימייל</x:v>
      </x:c>
      <x:c r="R99" s="46" t="n">
        <x:v>98</x:v>
      </x:c>
      <x:c r="S99" s="47" t="b">
        <x:v>1</x:v>
      </x:c>
    </x:row>
    <x:row r="100">
      <x:c r="A100" s="46" t="str">
        <x:v>PM-00097</x:v>
      </x:c>
      <x:c r="B100" s="46" t="str">
        <x:v>בדיקת אביזרי חשמל לתקינות (כולל כבלים ומחברים)</x:v>
      </x:c>
      <x:c r="C100" s="46" t="str">
        <x:v>בדיקת אביזרי חשמל לתקינות (כולל כבלים ומחברים)</x:v>
      </x:c>
      <x:c r="D100" s="46" t="str">
        <x:v>maintenance</x:v>
      </x:c>
      <x:c r="E100" s="46" t="n">
        <x:v>1</x:v>
      </x:c>
      <x:c r="F100" s="46" t="str">
        <x:v>month</x:v>
      </x:c>
      <x:c r="G100" s="46" t="n">
        <x:v>60</x:v>
      </x:c>
      <x:c r="H100" s="46" t="str"/>
      <x:c r="I100" s="47" t="b">
        <x:v>0</x:v>
      </x:c>
      <x:c r="J100" s="46" t="str">
        <x:v>medium</x:v>
      </x:c>
      <x:c r="K100" s="53" t="str"/>
      <x:c r="L100" s="53" t="str"/>
      <x:c r="M100" s="46" t="str"/>
      <x:c r="N100" s="46" t="str"/>
      <x:c r="O100" s="46" t="str"/>
      <x:c r="P100" s="46" t="str">
        <x:v>אחזקה מונעת - מערכת שרפת אמייל.xlsx</x:v>
      </x:c>
      <x:c r="Q100" s="46" t="str">
        <x:v>תנור שרפת אימייל</x:v>
      </x:c>
      <x:c r="R100" s="46" t="n">
        <x:v>99</x:v>
      </x:c>
      <x:c r="S100" s="47" t="b">
        <x:v>1</x:v>
      </x:c>
    </x:row>
    <x:row r="101">
      <x:c r="A101" s="46" t="str">
        <x:v>PM-00098</x:v>
      </x:c>
      <x:c r="B101" s="46" t="str">
        <x:v>בדיקה וניקוי ארון חשמל ע"י אויר</x:v>
      </x:c>
      <x:c r="C101" s="46" t="str">
        <x:v>בדיקה וניקוי ארון חשמל ע"י אויר</x:v>
      </x:c>
      <x:c r="D101" s="46" t="str">
        <x:v>maintenance</x:v>
      </x:c>
      <x:c r="E101" s="46" t="n">
        <x:v>1</x:v>
      </x:c>
      <x:c r="F101" s="46" t="str">
        <x:v>month</x:v>
      </x:c>
      <x:c r="G101" s="46" t="n">
        <x:v>60</x:v>
      </x:c>
      <x:c r="H101" s="46" t="str"/>
      <x:c r="I101" s="47" t="b">
        <x:v>0</x:v>
      </x:c>
      <x:c r="J101" s="46" t="str">
        <x:v>medium</x:v>
      </x:c>
      <x:c r="K101" s="53" t="str"/>
      <x:c r="L101" s="53" t="str"/>
      <x:c r="M101" s="46" t="str"/>
      <x:c r="N101" s="46" t="str"/>
      <x:c r="O101" s="46" t="str"/>
      <x:c r="P101" s="46" t="str">
        <x:v>אחזקה מונעת - מערכת שרפת אמייל.xlsx</x:v>
      </x:c>
      <x:c r="Q101" s="46" t="str">
        <x:v>תנור שרפת אימייל</x:v>
      </x:c>
      <x:c r="R101" s="46" t="n">
        <x:v>100</x:v>
      </x:c>
      <x:c r="S101" s="47" t="b">
        <x:v>1</x:v>
      </x:c>
    </x:row>
    <x:row r="102">
      <x:c r="A102" s="46" t="str">
        <x:v>PM-00099</x:v>
      </x:c>
      <x:c r="B102" s="46" t="str">
        <x:v>בדיקת תקינות ברזי אויר וגז לתקינות</x:v>
      </x:c>
      <x:c r="C102" s="46" t="str">
        <x:v>בדיקת תקינות ברזי אויר וגז לתקינות</x:v>
      </x:c>
      <x:c r="D102" s="46" t="str">
        <x:v>maintenance</x:v>
      </x:c>
      <x:c r="E102" s="46" t="n">
        <x:v>1</x:v>
      </x:c>
      <x:c r="F102" s="46" t="str">
        <x:v>half_year</x:v>
      </x:c>
      <x:c r="G102" s="46" t="n">
        <x:v>60</x:v>
      </x:c>
      <x:c r="H102" s="46" t="str"/>
      <x:c r="I102" s="47" t="b">
        <x:v>0</x:v>
      </x:c>
      <x:c r="J102" s="46" t="str">
        <x:v>medium</x:v>
      </x:c>
      <x:c r="K102" s="53" t="str"/>
      <x:c r="L102" s="53" t="str"/>
      <x:c r="M102" s="46" t="str"/>
      <x:c r="N102" s="46" t="str"/>
      <x:c r="O102" s="46" t="str"/>
      <x:c r="P102" s="46" t="str">
        <x:v>אחזקה מונעת - מערכת שרפת אמייל.xlsx</x:v>
      </x:c>
      <x:c r="Q102" s="46" t="str">
        <x:v>תנור שרפת אימייל</x:v>
      </x:c>
      <x:c r="R102" s="46" t="n">
        <x:v>101</x:v>
      </x:c>
      <x:c r="S102" s="47" t="b">
        <x:v>1</x:v>
      </x:c>
    </x:row>
    <x:row r="103">
      <x:c r="A103" s="46" t="str">
        <x:v>PM-00100</x:v>
      </x:c>
      <x:c r="B103" s="46" t="str">
        <x:v>בדיקה וניקוי מסועים מגופים זרים</x:v>
      </x:c>
      <x:c r="C103" s="46" t="str">
        <x:v>בדיקה וניקוי מסועים מגופים זרים</x:v>
      </x:c>
      <x:c r="D103" s="46" t="str">
        <x:v>operator_monitoring</x:v>
      </x:c>
      <x:c r="E103" s="46" t="n">
        <x:v>1</x:v>
      </x:c>
      <x:c r="F103" s="46" t="str">
        <x:v>day</x:v>
      </x:c>
      <x:c r="G103" s="46" t="n">
        <x:v>15</x:v>
      </x:c>
      <x:c r="H103" s="46" t="str"/>
      <x:c r="I103" s="47" t="b">
        <x:v>0</x:v>
      </x:c>
      <x:c r="J103" s="46" t="str">
        <x:v>medium</x:v>
      </x:c>
      <x:c r="K103" s="53" t="str"/>
      <x:c r="L103" s="53" t="str"/>
      <x:c r="M103" s="46" t="str"/>
      <x:c r="N103" s="46" t="str"/>
      <x:c r="O103" s="46" t="str"/>
      <x:c r="P103" s="46" t="str">
        <x:v>אחזקה מונעת - בונדר דודים.xlsx</x:v>
      </x:c>
      <x:c r="Q103" s="46" t="str">
        <x:v>מסוע כניסה גלילי</x:v>
      </x:c>
      <x:c r="R103" s="46" t="n">
        <x:v>102</x:v>
      </x:c>
      <x:c r="S103" s="47" t="b">
        <x:v>1</x:v>
      </x:c>
    </x:row>
    <x:row r="104">
      <x:c r="A104" s="46" t="str">
        <x:v>PM-00101</x:v>
      </x:c>
      <x:c r="B104" s="46" t="str">
        <x:v>ניקוי עניים פוטואלקטריות</x:v>
      </x:c>
      <x:c r="C104" s="46" t="str">
        <x:v>ניקוי עניים פוטואלקטריות</x:v>
      </x:c>
      <x:c r="D104" s="46" t="str">
        <x:v>operator_monitoring</x:v>
      </x:c>
      <x:c r="E104" s="46" t="n">
        <x:v>1</x:v>
      </x:c>
      <x:c r="F104" s="46" t="str">
        <x:v>day</x:v>
      </x:c>
      <x:c r="G104" s="46" t="n">
        <x:v>10</x:v>
      </x:c>
      <x:c r="H104" s="46" t="str"/>
      <x:c r="I104" s="47" t="b">
        <x:v>0</x:v>
      </x:c>
      <x:c r="J104" s="46" t="str">
        <x:v>medium</x:v>
      </x:c>
      <x:c r="K104" s="53" t="str"/>
      <x:c r="L104" s="53" t="str"/>
      <x:c r="M104" s="46" t="str"/>
      <x:c r="N104" s="46" t="str"/>
      <x:c r="O104" s="46" t="str"/>
      <x:c r="P104" s="46" t="str">
        <x:v>אחזקה מונעת - בונדר דודים.xlsx</x:v>
      </x:c>
      <x:c r="Q104" s="46" t="str">
        <x:v>מסוע כניסה גלילי</x:v>
      </x:c>
      <x:c r="R104" s="46" t="n">
        <x:v>103</x:v>
      </x:c>
      <x:c r="S104" s="47" t="b">
        <x:v>1</x:v>
      </x:c>
    </x:row>
    <x:row r="105">
      <x:c r="A105" s="46" t="str">
        <x:v>PM-00102</x:v>
      </x:c>
      <x:c r="B105" s="46" t="str">
        <x:v>שימון שרשרות הנעה ובין הגלילים</x:v>
      </x:c>
      <x:c r="C105" s="46" t="str">
        <x:v>שימון שרשרות הנעה ובין הגלילים</x:v>
      </x:c>
      <x:c r="D105" s="46" t="str">
        <x:v>operator_monitoring</x:v>
      </x:c>
      <x:c r="E105" s="46" t="n">
        <x:v>1</x:v>
      </x:c>
      <x:c r="F105" s="46" t="str">
        <x:v>week</x:v>
      </x:c>
      <x:c r="G105" s="46" t="n">
        <x:v>60</x:v>
      </x:c>
      <x:c r="H105" s="46" t="str"/>
      <x:c r="I105" s="47" t="b">
        <x:v>0</x:v>
      </x:c>
      <x:c r="J105" s="46" t="str">
        <x:v>medium</x:v>
      </x:c>
      <x:c r="K105" s="53" t="str"/>
      <x:c r="L105" s="53" t="str"/>
      <x:c r="M105" s="46" t="str"/>
      <x:c r="N105" s="46" t="str">
        <x:v>שמן שרשרות</x:v>
      </x:c>
      <x:c r="O105" s="46" t="str"/>
      <x:c r="P105" s="46" t="str">
        <x:v>אחזקה מונעת - בונדר דודים.xlsx</x:v>
      </x:c>
      <x:c r="Q105" s="46" t="str">
        <x:v>מסוע כניסה גלילי</x:v>
      </x:c>
      <x:c r="R105" s="46" t="n">
        <x:v>104</x:v>
      </x:c>
      <x:c r="S105" s="47" t="b">
        <x:v>1</x:v>
      </x:c>
    </x:row>
    <x:row r="106">
      <x:c r="A106" s="46" t="str">
        <x:v>PM-00103</x:v>
      </x:c>
      <x:c r="B106" s="46" t="str">
        <x:v>ניקוי מסועים בלחץ אויר</x:v>
      </x:c>
      <x:c r="C106" s="46" t="str">
        <x:v>ניקוי מסועים בלחץ אויר</x:v>
      </x:c>
      <x:c r="D106" s="46" t="str">
        <x:v>operator_monitoring</x:v>
      </x:c>
      <x:c r="E106" s="46" t="n">
        <x:v>1</x:v>
      </x:c>
      <x:c r="F106" s="46" t="str">
        <x:v>month</x:v>
      </x:c>
      <x:c r="G106" s="46" t="n">
        <x:v>30</x:v>
      </x:c>
      <x:c r="H106" s="46" t="str"/>
      <x:c r="I106" s="47" t="b">
        <x:v>0</x:v>
      </x:c>
      <x:c r="J106" s="46" t="str">
        <x:v>medium</x:v>
      </x:c>
      <x:c r="K106" s="53" t="str"/>
      <x:c r="L106" s="53" t="str"/>
      <x:c r="M106" s="46" t="str"/>
      <x:c r="N106" s="46" t="str"/>
      <x:c r="O106" s="46" t="str"/>
      <x:c r="P106" s="46" t="str">
        <x:v>אחזקה מונעת - בונדר דודים.xlsx</x:v>
      </x:c>
      <x:c r="Q106" s="46" t="str">
        <x:v>מסוע כניסה גלילי</x:v>
      </x:c>
      <x:c r="R106" s="46" t="n">
        <x:v>105</x:v>
      </x:c>
      <x:c r="S106" s="47" t="b">
        <x:v>1</x:v>
      </x:c>
    </x:row>
    <x:row r="107">
      <x:c r="A107" s="46" t="str">
        <x:v>PM-00104</x:v>
      </x:c>
      <x:c r="B107" s="46" t="str">
        <x:v>גירוז מיסבים</x:v>
      </x:c>
      <x:c r="C107" s="46" t="str">
        <x:v>גירוז מיסבים</x:v>
      </x:c>
      <x:c r="D107" s="46" t="str">
        <x:v>maintenance</x:v>
      </x:c>
      <x:c r="E107" s="46" t="n">
        <x:v>1</x:v>
      </x:c>
      <x:c r="F107" s="46" t="str">
        <x:v>week</x:v>
      </x:c>
      <x:c r="G107" s="46" t="n">
        <x:v>60</x:v>
      </x:c>
      <x:c r="H107" s="46" t="str"/>
      <x:c r="I107" s="47" t="b">
        <x:v>0</x:v>
      </x:c>
      <x:c r="J107" s="46" t="str">
        <x:v>medium</x:v>
      </x:c>
      <x:c r="K107" s="53" t="str"/>
      <x:c r="L107" s="53" t="str"/>
      <x:c r="M107" s="46" t="str"/>
      <x:c r="N107" s="46" t="str">
        <x:v>גריז</x:v>
      </x:c>
      <x:c r="O107" s="46" t="str"/>
      <x:c r="P107" s="46" t="str">
        <x:v>אחזקה מונעת - בונדר דודים.xlsx</x:v>
      </x:c>
      <x:c r="Q107" s="46" t="str">
        <x:v>מסוע כניסה גלילי</x:v>
      </x:c>
      <x:c r="R107" s="46" t="n">
        <x:v>106</x:v>
      </x:c>
      <x:c r="S107" s="47" t="b">
        <x:v>1</x:v>
      </x:c>
    </x:row>
    <x:row r="108">
      <x:c r="A108" s="46" t="str">
        <x:v>PM-00105</x:v>
      </x:c>
      <x:c r="B108" s="46" t="str">
        <x:v>בדיקה והחלפת מיסבים לפי צורך</x:v>
      </x:c>
      <x:c r="C108" s="46" t="str">
        <x:v>בדיקה והחלפת מיסבים לפי צורך</x:v>
      </x:c>
      <x:c r="D108" s="46" t="str">
        <x:v>maintenance</x:v>
      </x:c>
      <x:c r="E108" s="46" t="n">
        <x:v>1</x:v>
      </x:c>
      <x:c r="F108" s="46" t="str">
        <x:v>month</x:v>
      </x:c>
      <x:c r="G108" s="46" t="n">
        <x:v>180</x:v>
      </x:c>
      <x:c r="H108" s="46" t="str"/>
      <x:c r="I108" s="47" t="b">
        <x:v>0</x:v>
      </x:c>
      <x:c r="J108" s="46" t="str">
        <x:v>medium</x:v>
      </x:c>
      <x:c r="K108" s="53" t="str"/>
      <x:c r="L108" s="53" t="str"/>
      <x:c r="M108" s="46" t="str"/>
      <x:c r="N108" s="46" t="str">
        <x:v>מיסבים</x:v>
      </x:c>
      <x:c r="O108" s="46" t="str"/>
      <x:c r="P108" s="46" t="str">
        <x:v>אחזקה מונעת - בונדר דודים.xlsx</x:v>
      </x:c>
      <x:c r="Q108" s="46" t="str">
        <x:v>מסוע כניסה גלילי</x:v>
      </x:c>
      <x:c r="R108" s="46" t="n">
        <x:v>107</x:v>
      </x:c>
      <x:c r="S108" s="47" t="b">
        <x:v>1</x:v>
      </x:c>
    </x:row>
    <x:row r="109">
      <x:c r="A109" s="46" t="str">
        <x:v>PM-00106</x:v>
      </x:c>
      <x:c r="B109" s="46" t="str">
        <x:v>בדיקה והחלפת שרשרות הנעה לפי צורך</x:v>
      </x:c>
      <x:c r="C109" s="46" t="str">
        <x:v>בדיקה והחלפת שרשרות הנעה לפי צורך</x:v>
      </x:c>
      <x:c r="D109" s="46" t="str">
        <x:v>maintenance</x:v>
      </x:c>
      <x:c r="E109" s="46" t="n">
        <x:v>1</x:v>
      </x:c>
      <x:c r="F109" s="46" t="str">
        <x:v>month</x:v>
      </x:c>
      <x:c r="G109" s="46" t="n">
        <x:v>180</x:v>
      </x:c>
      <x:c r="H109" s="46" t="str"/>
      <x:c r="I109" s="47" t="b">
        <x:v>0</x:v>
      </x:c>
      <x:c r="J109" s="46" t="str">
        <x:v>medium</x:v>
      </x:c>
      <x:c r="K109" s="53" t="str"/>
      <x:c r="L109" s="53" t="str"/>
      <x:c r="M109" s="46" t="str"/>
      <x:c r="N109" s="46" t="str">
        <x:v>שרשרות הנעה</x:v>
      </x:c>
      <x:c r="O109" s="46" t="str"/>
      <x:c r="P109" s="46" t="str">
        <x:v>אחזקה מונעת - בונדר דודים.xlsx</x:v>
      </x:c>
      <x:c r="Q109" s="46" t="str">
        <x:v>מסוע כניסה גלילי</x:v>
      </x:c>
      <x:c r="R109" s="46" t="n">
        <x:v>108</x:v>
      </x:c>
      <x:c r="S109" s="47" t="b">
        <x:v>1</x:v>
      </x:c>
    </x:row>
    <x:row r="110">
      <x:c r="A110" s="46" t="str">
        <x:v>PM-00107</x:v>
      </x:c>
      <x:c r="B110" s="46" t="str">
        <x:v>בדיקת יחידות הנעה לתקינות</x:v>
      </x:c>
      <x:c r="C110" s="46" t="str">
        <x:v>בדיקת יחידות הנעה לתקינות</x:v>
      </x:c>
      <x:c r="D110" s="46" t="str">
        <x:v>maintenance</x:v>
      </x:c>
      <x:c r="E110" s="46" t="n">
        <x:v>1</x:v>
      </x:c>
      <x:c r="F110" s="46" t="str">
        <x:v>month</x:v>
      </x:c>
      <x:c r="G110" s="46" t="n">
        <x:v>30</x:v>
      </x:c>
      <x:c r="H110" s="46" t="str"/>
      <x:c r="I110" s="47" t="b">
        <x:v>0</x:v>
      </x:c>
      <x:c r="J110" s="46" t="str">
        <x:v>medium</x:v>
      </x:c>
      <x:c r="K110" s="53" t="str"/>
      <x:c r="L110" s="53" t="str"/>
      <x:c r="M110" s="46" t="str"/>
      <x:c r="N110" s="46" t="str"/>
      <x:c r="O110" s="46" t="str"/>
      <x:c r="P110" s="46" t="str">
        <x:v>אחזקה מונעת - בונדר דודים.xlsx</x:v>
      </x:c>
      <x:c r="Q110" s="46" t="str">
        <x:v>מסוע כניסה גלילי</x:v>
      </x:c>
      <x:c r="R110" s="46" t="n">
        <x:v>109</x:v>
      </x:c>
      <x:c r="S110" s="47" t="b">
        <x:v>1</x:v>
      </x:c>
    </x:row>
    <x:row r="111">
      <x:c r="A111" s="46" t="str">
        <x:v>PM-00108</x:v>
      </x:c>
      <x:c r="B111" s="46" t="str">
        <x:v>החלפת מיסבים ושרשרות לפי הצורך</x:v>
      </x:c>
      <x:c r="C111" s="46" t="str">
        <x:v>החלפת מיסבים ושרשרות לפי הצורך</x:v>
      </x:c>
      <x:c r="D111" s="46" t="str">
        <x:v>maintenance</x:v>
      </x:c>
      <x:c r="E111" s="46" t="n">
        <x:v>1</x:v>
      </x:c>
      <x:c r="F111" s="46" t="str">
        <x:v>year</x:v>
      </x:c>
      <x:c r="G111" s="46" t="n">
        <x:v>360</x:v>
      </x:c>
      <x:c r="H111" s="46" t="str"/>
      <x:c r="I111" s="47" t="b">
        <x:v>0</x:v>
      </x:c>
      <x:c r="J111" s="46" t="str">
        <x:v>medium</x:v>
      </x:c>
      <x:c r="K111" s="53" t="str"/>
      <x:c r="L111" s="53" t="str"/>
      <x:c r="M111" s="46" t="str"/>
      <x:c r="N111" s="46" t="str">
        <x:v>מיסבים, שרשרת</x:v>
      </x:c>
      <x:c r="O111" s="46" t="str">
        <x:v>יש צורך להזמין מיסבים ושרשרות מראש</x:v>
      </x:c>
      <x:c r="P111" s="46" t="str">
        <x:v>אחזקה מונעת - בונדר דודים.xlsx</x:v>
      </x:c>
      <x:c r="Q111" s="46" t="str">
        <x:v>מסוע כניסה גלילי</x:v>
      </x:c>
      <x:c r="R111" s="46" t="n">
        <x:v>110</x:v>
      </x:c>
      <x:c r="S111" s="47" t="b">
        <x:v>1</x:v>
      </x:c>
    </x:row>
    <x:row r="112">
      <x:c r="A112" s="46" t="str">
        <x:v>PM-00109</x:v>
      </x:c>
      <x:c r="B112" s="46" t="str">
        <x:v>בדיקת אביזרי חשמל לתקינות (כולל כבלים, מחברים ועניים פוטואלקטריות)</x:v>
      </x:c>
      <x:c r="C112" s="46" t="str">
        <x:v>בדיקת אביזרי חשמל לתקינות (כולל כבלים, מחברים ועניים פוטואלקטריות)</x:v>
      </x:c>
      <x:c r="D112" s="46" t="str">
        <x:v>maintenance</x:v>
      </x:c>
      <x:c r="E112" s="46" t="n">
        <x:v>1</x:v>
      </x:c>
      <x:c r="F112" s="46" t="str">
        <x:v>month</x:v>
      </x:c>
      <x:c r="G112" s="46" t="n">
        <x:v>120</x:v>
      </x:c>
      <x:c r="H112" s="46" t="str"/>
      <x:c r="I112" s="47" t="b">
        <x:v>0</x:v>
      </x:c>
      <x:c r="J112" s="46" t="str">
        <x:v>medium</x:v>
      </x:c>
      <x:c r="K112" s="53" t="str"/>
      <x:c r="L112" s="53" t="str"/>
      <x:c r="M112" s="46" t="str"/>
      <x:c r="N112" s="46" t="str"/>
      <x:c r="O112" s="46" t="str"/>
      <x:c r="P112" s="46" t="str">
        <x:v>אחזקה מונעת - בונדר דודים.xlsx</x:v>
      </x:c>
      <x:c r="Q112" s="46" t="str">
        <x:v>מסוע כניסה גלילי</x:v>
      </x:c>
      <x:c r="R112" s="46" t="n">
        <x:v>111</x:v>
      </x:c>
      <x:c r="S112" s="47" t="b">
        <x:v>1</x:v>
      </x:c>
    </x:row>
    <x:row r="113">
      <x:c r="A113" s="46" t="str">
        <x:v>PM-00110</x:v>
      </x:c>
      <x:c r="B113" s="46" t="str">
        <x:v>בדיקת נזילות ויזואליט</x:v>
      </x:c>
      <x:c r="C113" s="46" t="str">
        <x:v>בדיקת נזילות ויזואליט</x:v>
      </x:c>
      <x:c r="D113" s="46" t="str">
        <x:v>operator_monitoring</x:v>
      </x:c>
      <x:c r="E113" s="46" t="n">
        <x:v>1</x:v>
      </x:c>
      <x:c r="F113" s="46" t="str">
        <x:v>day</x:v>
      </x:c>
      <x:c r="G113" s="46" t="n">
        <x:v>10</x:v>
      </x:c>
      <x:c r="H113" s="46" t="str"/>
      <x:c r="I113" s="47" t="b">
        <x:v>0</x:v>
      </x:c>
      <x:c r="J113" s="46" t="str">
        <x:v>medium</x:v>
      </x:c>
      <x:c r="K113" s="53" t="str"/>
      <x:c r="L113" s="53" t="str"/>
      <x:c r="M113" s="46" t="str"/>
      <x:c r="N113" s="46" t="str"/>
      <x:c r="O113" s="46" t="str"/>
      <x:c r="P113" s="46" t="str">
        <x:v>אחזקה מונעת - בונדר דודים.xlsx</x:v>
      </x:c>
      <x:c r="Q113" s="46" t="str">
        <x:v>אמבטיות בונדר</x:v>
      </x:c>
      <x:c r="R113" s="46" t="n">
        <x:v>112</x:v>
      </x:c>
      <x:c r="S113" s="47" t="b">
        <x:v>1</x:v>
      </x:c>
    </x:row>
    <x:row r="114">
      <x:c r="A114" s="46" t="str">
        <x:v>PM-00111</x:v>
      </x:c>
      <x:c r="B114" s="46" t="str">
        <x:v>ניקוי טרמילים של גופי חימום מאבנית</x:v>
      </x:c>
      <x:c r="C114" s="46" t="str">
        <x:v>ניקוי טרמילים של גופי חימום מאבנית</x:v>
      </x:c>
      <x:c r="D114" s="46" t="str">
        <x:v>operator_monitoring</x:v>
      </x:c>
      <x:c r="E114" s="46" t="n">
        <x:v>1</x:v>
      </x:c>
      <x:c r="F114" s="46" t="str">
        <x:v>week</x:v>
      </x:c>
      <x:c r="G114" s="46" t="n">
        <x:v>300</x:v>
      </x:c>
      <x:c r="H114" s="46" t="str"/>
      <x:c r="I114" s="47" t="b">
        <x:v>0</x:v>
      </x:c>
      <x:c r="J114" s="46" t="str">
        <x:v>medium</x:v>
      </x:c>
      <x:c r="K114" s="53" t="str"/>
      <x:c r="L114" s="53" t="str"/>
      <x:c r="M114" s="46" t="str"/>
      <x:c r="N114" s="46" t="str"/>
      <x:c r="O114" s="46" t="str"/>
      <x:c r="P114" s="46" t="str">
        <x:v>אחזקה מונעת - בונדר דודים.xlsx</x:v>
      </x:c>
      <x:c r="Q114" s="46" t="str">
        <x:v>אמבטיות בונדר</x:v>
      </x:c>
      <x:c r="R114" s="46" t="n">
        <x:v>113</x:v>
      </x:c>
      <x:c r="S114" s="47" t="b">
        <x:v>1</x:v>
      </x:c>
    </x:row>
    <x:row r="115">
      <x:c r="A115" s="46" t="str">
        <x:v>PM-00112</x:v>
      </x:c>
      <x:c r="B115" s="46" t="str">
        <x:v>בדיקת תקינות ברזים לנזילות</x:v>
      </x:c>
      <x:c r="C115" s="46" t="str">
        <x:v>בדיקת תקינות ברזים לנזילות</x:v>
      </x:c>
      <x:c r="D115" s="46" t="str">
        <x:v>maintenance</x:v>
      </x:c>
      <x:c r="E115" s="46" t="n">
        <x:v>1</x:v>
      </x:c>
      <x:c r="F115" s="46" t="str">
        <x:v>week</x:v>
      </x:c>
      <x:c r="G115" s="46" t="n">
        <x:v>20</x:v>
      </x:c>
      <x:c r="H115" s="46" t="str"/>
      <x:c r="I115" s="47" t="b">
        <x:v>0</x:v>
      </x:c>
      <x:c r="J115" s="46" t="str">
        <x:v>medium</x:v>
      </x:c>
      <x:c r="K115" s="53" t="str"/>
      <x:c r="L115" s="53" t="str"/>
      <x:c r="M115" s="46" t="str"/>
      <x:c r="N115" s="46" t="str"/>
      <x:c r="O115" s="46" t="str"/>
      <x:c r="P115" s="46" t="str">
        <x:v>אחזקה מונעת - בונדר דודים.xlsx</x:v>
      </x:c>
      <x:c r="Q115" s="46" t="str">
        <x:v>אמבטיות בונדר</x:v>
      </x:c>
      <x:c r="R115" s="46" t="n">
        <x:v>114</x:v>
      </x:c>
      <x:c r="S115" s="47" t="b">
        <x:v>1</x:v>
      </x:c>
    </x:row>
    <x:row r="116">
      <x:c r="A116" s="46" t="str">
        <x:v>PM-00113</x:v>
      </x:c>
      <x:c r="B116" s="46" t="str">
        <x:v>בדיקה והחלפת גופי חימום (לפי צורך)</x:v>
      </x:c>
      <x:c r="C116" s="46" t="str">
        <x:v>בדיקה והחלפת גופי חימום (לפי צורך)</x:v>
      </x:c>
      <x:c r="D116" s="46" t="str">
        <x:v>maintenance</x:v>
      </x:c>
      <x:c r="E116" s="46" t="n">
        <x:v>1</x:v>
      </x:c>
      <x:c r="F116" s="46" t="str">
        <x:v>week</x:v>
      </x:c>
      <x:c r="G116" s="46" t="n">
        <x:v>60</x:v>
      </x:c>
      <x:c r="H116" s="46" t="str"/>
      <x:c r="I116" s="47" t="b">
        <x:v>0</x:v>
      </x:c>
      <x:c r="J116" s="46" t="str">
        <x:v>medium</x:v>
      </x:c>
      <x:c r="K116" s="53" t="str"/>
      <x:c r="L116" s="53" t="str"/>
      <x:c r="M116" s="46" t="str"/>
      <x:c r="N116" s="46" t="str"/>
      <x:c r="O116" s="46" t="str"/>
      <x:c r="P116" s="46" t="str">
        <x:v>אחזקה מונעת - בונדר דודים.xlsx</x:v>
      </x:c>
      <x:c r="Q116" s="46" t="str">
        <x:v>אמבטיות בונדר</x:v>
      </x:c>
      <x:c r="R116" s="46" t="n">
        <x:v>115</x:v>
      </x:c>
      <x:c r="S116" s="47" t="b">
        <x:v>1</x:v>
      </x:c>
    </x:row>
    <x:row r="117">
      <x:c r="A117" s="46" t="str">
        <x:v>PM-00114</x:v>
      </x:c>
      <x:c r="B117" s="46" t="str">
        <x:v>בדיקת אביזרי חשמל לתקינות (כולל כבלים ומחברים)</x:v>
      </x:c>
      <x:c r="C117" s="46" t="str">
        <x:v>בדיקת אביזרי חשמל לתקינות (כולל כבלים ומחברים)</x:v>
      </x:c>
      <x:c r="D117" s="46" t="str">
        <x:v>maintenance</x:v>
      </x:c>
      <x:c r="E117" s="46" t="n">
        <x:v>1</x:v>
      </x:c>
      <x:c r="F117" s="46" t="str">
        <x:v>month</x:v>
      </x:c>
      <x:c r="G117" s="46" t="n">
        <x:v>60</x:v>
      </x:c>
      <x:c r="H117" s="46" t="str"/>
      <x:c r="I117" s="47" t="b">
        <x:v>0</x:v>
      </x:c>
      <x:c r="J117" s="46" t="str">
        <x:v>medium</x:v>
      </x:c>
      <x:c r="K117" s="53" t="str"/>
      <x:c r="L117" s="53" t="str"/>
      <x:c r="M117" s="46" t="str"/>
      <x:c r="N117" s="46" t="str"/>
      <x:c r="O117" s="46" t="str"/>
      <x:c r="P117" s="46" t="str">
        <x:v>אחזקה מונעת - בונדר דודים.xlsx</x:v>
      </x:c>
      <x:c r="Q117" s="46" t="str">
        <x:v>אמבטיות בונדר</x:v>
      </x:c>
      <x:c r="R117" s="46" t="n">
        <x:v>116</x:v>
      </x:c>
      <x:c r="S117" s="47" t="b">
        <x:v>1</x:v>
      </x:c>
    </x:row>
    <x:row r="118">
      <x:c r="A118" s="46" t="str">
        <x:v>PM-00115</x:v>
      </x:c>
      <x:c r="B118" s="46" t="str">
        <x:v>בדיקת נזילות ויזואליט</x:v>
      </x:c>
      <x:c r="C118" s="46" t="str">
        <x:v>בדיקת נזילות ויזואליט</x:v>
      </x:c>
      <x:c r="D118" s="46" t="str">
        <x:v>operator_monitoring</x:v>
      </x:c>
      <x:c r="E118" s="46" t="n">
        <x:v>1</x:v>
      </x:c>
      <x:c r="F118" s="46" t="str">
        <x:v>day</x:v>
      </x:c>
      <x:c r="G118" s="46" t="n">
        <x:v>5</x:v>
      </x:c>
      <x:c r="H118" s="46" t="str"/>
      <x:c r="I118" s="47" t="b">
        <x:v>0</x:v>
      </x:c>
      <x:c r="J118" s="46" t="str">
        <x:v>medium</x:v>
      </x:c>
      <x:c r="K118" s="53" t="str"/>
      <x:c r="L118" s="53" t="str"/>
      <x:c r="M118" s="46" t="str"/>
      <x:c r="N118" s="46" t="str"/>
      <x:c r="O118" s="46" t="str"/>
      <x:c r="P118" s="46" t="str">
        <x:v>אחזקה מונעת - בונדר דודים.xlsx</x:v>
      </x:c>
      <x:c r="Q118" s="46" t="str">
        <x:v>אמבטיות בונדר</x:v>
      </x:c>
      <x:c r="R118" s="46" t="n">
        <x:v>117</x:v>
      </x:c>
      <x:c r="S118" s="47" t="b">
        <x:v>1</x:v>
      </x:c>
    </x:row>
    <x:row r="119">
      <x:c r="A119" s="46" t="str">
        <x:v>PM-00116</x:v>
      </x:c>
      <x:c r="B119" s="46" t="str">
        <x:v>בדיקה וניקוי טרמילים של גופי חימום מאבנית</x:v>
      </x:c>
      <x:c r="C119" s="46" t="str">
        <x:v>בדיקה וניקוי טרמילים של גופי חימום מאבנית</x:v>
      </x:c>
      <x:c r="D119" s="46" t="str">
        <x:v>operator_monitoring</x:v>
      </x:c>
      <x:c r="E119" s="46" t="n">
        <x:v>1</x:v>
      </x:c>
      <x:c r="F119" s="46" t="str">
        <x:v>week</x:v>
      </x:c>
      <x:c r="G119" s="46" t="n">
        <x:v>180</x:v>
      </x:c>
      <x:c r="H119" s="46" t="str"/>
      <x:c r="I119" s="47" t="b">
        <x:v>0</x:v>
      </x:c>
      <x:c r="J119" s="46" t="str">
        <x:v>medium</x:v>
      </x:c>
      <x:c r="K119" s="53" t="str"/>
      <x:c r="L119" s="53" t="str"/>
      <x:c r="M119" s="46" t="str"/>
      <x:c r="N119" s="46" t="str"/>
      <x:c r="O119" s="46" t="str"/>
      <x:c r="P119" s="46" t="str">
        <x:v>אחזקה מונעת - בונדר דודים.xlsx</x:v>
      </x:c>
      <x:c r="Q119" s="46" t="str">
        <x:v>אמבטיות בונדר</x:v>
      </x:c>
      <x:c r="R119" s="46" t="n">
        <x:v>118</x:v>
      </x:c>
      <x:c r="S119" s="47" t="b">
        <x:v>1</x:v>
      </x:c>
    </x:row>
    <x:row r="120">
      <x:c r="A120" s="46" t="str">
        <x:v>PM-00117</x:v>
      </x:c>
      <x:c r="B120" s="46" t="str">
        <x:v>בדיקת תקינות ויזואליט ברזים לנזילות</x:v>
      </x:c>
      <x:c r="C120" s="46" t="str">
        <x:v>בדיקת תקינות ויזואליט ברזים לנזילות</x:v>
      </x:c>
      <x:c r="D120" s="46" t="str">
        <x:v>maintenance</x:v>
      </x:c>
      <x:c r="E120" s="46" t="n">
        <x:v>1</x:v>
      </x:c>
      <x:c r="F120" s="46" t="str">
        <x:v>week</x:v>
      </x:c>
      <x:c r="G120" s="46" t="n">
        <x:v>10</x:v>
      </x:c>
      <x:c r="H120" s="46" t="str"/>
      <x:c r="I120" s="47" t="b">
        <x:v>0</x:v>
      </x:c>
      <x:c r="J120" s="46" t="str">
        <x:v>medium</x:v>
      </x:c>
      <x:c r="K120" s="53" t="str"/>
      <x:c r="L120" s="53" t="str"/>
      <x:c r="M120" s="46" t="str"/>
      <x:c r="N120" s="46" t="str"/>
      <x:c r="O120" s="46" t="str"/>
      <x:c r="P120" s="46" t="str">
        <x:v>אחזקה מונעת - בונדר דודים.xlsx</x:v>
      </x:c>
      <x:c r="Q120" s="46" t="str">
        <x:v>אמבטיות בונדר</x:v>
      </x:c>
      <x:c r="R120" s="46" t="n">
        <x:v>119</x:v>
      </x:c>
      <x:c r="S120" s="47" t="b">
        <x:v>1</x:v>
      </x:c>
    </x:row>
    <x:row r="121">
      <x:c r="A121" s="46" t="str">
        <x:v>PM-00118</x:v>
      </x:c>
      <x:c r="B121" s="46" t="str">
        <x:v>בדיקה והחלפת גופי חימום (לפי צורך)</x:v>
      </x:c>
      <x:c r="C121" s="46" t="str">
        <x:v>בדיקה והחלפת גופי חימום (לפי צורך)</x:v>
      </x:c>
      <x:c r="D121" s="46" t="str">
        <x:v>maintenance</x:v>
      </x:c>
      <x:c r="E121" s="46" t="n">
        <x:v>1</x:v>
      </x:c>
      <x:c r="F121" s="46" t="str">
        <x:v>week</x:v>
      </x:c>
      <x:c r="G121" s="46" t="n">
        <x:v>120</x:v>
      </x:c>
      <x:c r="H121" s="46" t="str"/>
      <x:c r="I121" s="47" t="b">
        <x:v>0</x:v>
      </x:c>
      <x:c r="J121" s="46" t="str">
        <x:v>medium</x:v>
      </x:c>
      <x:c r="K121" s="53" t="str"/>
      <x:c r="L121" s="53" t="str"/>
      <x:c r="M121" s="46" t="str"/>
      <x:c r="N121" s="46" t="str"/>
      <x:c r="O121" s="46" t="str"/>
      <x:c r="P121" s="46" t="str">
        <x:v>אחזקה מונעת - בונדר דודים.xlsx</x:v>
      </x:c>
      <x:c r="Q121" s="46" t="str">
        <x:v>אמבטיות בונדר</x:v>
      </x:c>
      <x:c r="R121" s="46" t="n">
        <x:v>120</x:v>
      </x:c>
      <x:c r="S121" s="47" t="b">
        <x:v>1</x:v>
      </x:c>
    </x:row>
    <x:row r="122">
      <x:c r="A122" s="46" t="str">
        <x:v>PM-00119</x:v>
      </x:c>
      <x:c r="B122" s="46" t="str">
        <x:v>בדיקת אביזרי חשמל לתקינות (כולל כבלים ומחברים)</x:v>
      </x:c>
      <x:c r="C122" s="46" t="str">
        <x:v>בדיקת אביזרי חשמל לתקינות (כולל כבלים ומחברים)</x:v>
      </x:c>
      <x:c r="D122" s="46" t="str">
        <x:v>maintenance</x:v>
      </x:c>
      <x:c r="E122" s="46" t="n">
        <x:v>1</x:v>
      </x:c>
      <x:c r="F122" s="46" t="str">
        <x:v>month</x:v>
      </x:c>
      <x:c r="G122" s="46" t="n">
        <x:v>60</x:v>
      </x:c>
      <x:c r="H122" s="46" t="str"/>
      <x:c r="I122" s="47" t="b">
        <x:v>0</x:v>
      </x:c>
      <x:c r="J122" s="46" t="str">
        <x:v>medium</x:v>
      </x:c>
      <x:c r="K122" s="53" t="str"/>
      <x:c r="L122" s="53" t="str"/>
      <x:c r="M122" s="46" t="str"/>
      <x:c r="N122" s="46" t="str"/>
      <x:c r="O122" s="46" t="str"/>
      <x:c r="P122" s="46" t="str">
        <x:v>אחזקה מונעת - בונדר דודים.xlsx</x:v>
      </x:c>
      <x:c r="Q122" s="46" t="str">
        <x:v>אמבטיות בונדר</x:v>
      </x:c>
      <x:c r="R122" s="46" t="n">
        <x:v>121</x:v>
      </x:c>
      <x:c r="S122" s="47" t="b">
        <x:v>1</x:v>
      </x:c>
    </x:row>
    <x:row r="123">
      <x:c r="A123" s="46" t="str">
        <x:v>PM-00120</x:v>
      </x:c>
      <x:c r="B123" s="46" t="str">
        <x:v>בדיקת נזילות ויזואליט</x:v>
      </x:c>
      <x:c r="C123" s="46" t="str">
        <x:v>בדיקת נזילות ויזואליט</x:v>
      </x:c>
      <x:c r="D123" s="46" t="str">
        <x:v>operator_monitoring</x:v>
      </x:c>
      <x:c r="E123" s="46" t="n">
        <x:v>1</x:v>
      </x:c>
      <x:c r="F123" s="46" t="str">
        <x:v>day</x:v>
      </x:c>
      <x:c r="G123" s="46" t="n">
        <x:v>10</x:v>
      </x:c>
      <x:c r="H123" s="46" t="str"/>
      <x:c r="I123" s="47" t="b">
        <x:v>0</x:v>
      </x:c>
      <x:c r="J123" s="46" t="str">
        <x:v>medium</x:v>
      </x:c>
      <x:c r="K123" s="53" t="str"/>
      <x:c r="L123" s="53" t="str"/>
      <x:c r="M123" s="46" t="str"/>
      <x:c r="N123" s="46" t="str"/>
      <x:c r="O123" s="46" t="str"/>
      <x:c r="P123" s="46" t="str">
        <x:v>אחזקה מונעת - בונדר דודים.xlsx</x:v>
      </x:c>
      <x:c r="Q123" s="46" t="str">
        <x:v>אמבטיות בונדר</x:v>
      </x:c>
      <x:c r="R123" s="46" t="n">
        <x:v>122</x:v>
      </x:c>
      <x:c r="S123" s="47" t="b">
        <x:v>1</x:v>
      </x:c>
    </x:row>
    <x:row r="124">
      <x:c r="A124" s="46" t="str">
        <x:v>PM-00121</x:v>
      </x:c>
      <x:c r="B124" s="46" t="str">
        <x:v>ניקוי טרמילים של גופי חימום מאבנית</x:v>
      </x:c>
      <x:c r="C124" s="46" t="str">
        <x:v>ניקוי טרמילים של גופי חימום מאבנית</x:v>
      </x:c>
      <x:c r="D124" s="46" t="str">
        <x:v>operator_monitoring</x:v>
      </x:c>
      <x:c r="E124" s="46" t="n">
        <x:v>1</x:v>
      </x:c>
      <x:c r="F124" s="46" t="str">
        <x:v>week</x:v>
      </x:c>
      <x:c r="G124" s="46" t="n">
        <x:v>300</x:v>
      </x:c>
      <x:c r="H124" s="46" t="str"/>
      <x:c r="I124" s="47" t="b">
        <x:v>0</x:v>
      </x:c>
      <x:c r="J124" s="46" t="str">
        <x:v>medium</x:v>
      </x:c>
      <x:c r="K124" s="53" t="str"/>
      <x:c r="L124" s="53" t="str"/>
      <x:c r="M124" s="46" t="str"/>
      <x:c r="N124" s="46" t="str"/>
      <x:c r="O124" s="46" t="str"/>
      <x:c r="P124" s="46" t="str">
        <x:v>אחזקה מונעת - בונדר דודים.xlsx</x:v>
      </x:c>
      <x:c r="Q124" s="46" t="str">
        <x:v>אמבטיות בונדר</x:v>
      </x:c>
      <x:c r="R124" s="46" t="n">
        <x:v>123</x:v>
      </x:c>
      <x:c r="S124" s="47" t="b">
        <x:v>1</x:v>
      </x:c>
    </x:row>
    <x:row r="125">
      <x:c r="A125" s="46" t="str">
        <x:v>PM-00122</x:v>
      </x:c>
      <x:c r="B125" s="46" t="str">
        <x:v>בדיקת תקינות ויזואליט ברזים לנזילות</x:v>
      </x:c>
      <x:c r="C125" s="46" t="str">
        <x:v>בדיקת תקינות ויזואליט ברזים לנזילות</x:v>
      </x:c>
      <x:c r="D125" s="46" t="str">
        <x:v>maintenance</x:v>
      </x:c>
      <x:c r="E125" s="46" t="n">
        <x:v>1</x:v>
      </x:c>
      <x:c r="F125" s="46" t="str">
        <x:v>week</x:v>
      </x:c>
      <x:c r="G125" s="46" t="n">
        <x:v>20</x:v>
      </x:c>
      <x:c r="H125" s="46" t="str"/>
      <x:c r="I125" s="47" t="b">
        <x:v>0</x:v>
      </x:c>
      <x:c r="J125" s="46" t="str">
        <x:v>medium</x:v>
      </x:c>
      <x:c r="K125" s="53" t="str"/>
      <x:c r="L125" s="53" t="str"/>
      <x:c r="M125" s="46" t="str"/>
      <x:c r="N125" s="46" t="str"/>
      <x:c r="O125" s="46" t="str"/>
      <x:c r="P125" s="46" t="str">
        <x:v>אחזקה מונעת - בונדר דודים.xlsx</x:v>
      </x:c>
      <x:c r="Q125" s="46" t="str">
        <x:v>אמבטיות בונדר</x:v>
      </x:c>
      <x:c r="R125" s="46" t="n">
        <x:v>124</x:v>
      </x:c>
      <x:c r="S125" s="47" t="b">
        <x:v>1</x:v>
      </x:c>
    </x:row>
    <x:row r="126">
      <x:c r="A126" s="46" t="str">
        <x:v>PM-00123</x:v>
      </x:c>
      <x:c r="B126" s="46" t="str">
        <x:v>בדיקה והחלפת גופי חימום (לפי צורך)</x:v>
      </x:c>
      <x:c r="C126" s="46" t="str">
        <x:v>בדיקה והחלפת גופי חימום (לפי צורך)</x:v>
      </x:c>
      <x:c r="D126" s="46" t="str">
        <x:v>maintenance</x:v>
      </x:c>
      <x:c r="E126" s="46" t="n">
        <x:v>1</x:v>
      </x:c>
      <x:c r="F126" s="46" t="str">
        <x:v>week</x:v>
      </x:c>
      <x:c r="G126" s="46" t="n">
        <x:v>180</x:v>
      </x:c>
      <x:c r="H126" s="46" t="str"/>
      <x:c r="I126" s="47" t="b">
        <x:v>0</x:v>
      </x:c>
      <x:c r="J126" s="46" t="str">
        <x:v>medium</x:v>
      </x:c>
      <x:c r="K126" s="53" t="str"/>
      <x:c r="L126" s="53" t="str"/>
      <x:c r="M126" s="46" t="str"/>
      <x:c r="N126" s="46" t="str"/>
      <x:c r="O126" s="46" t="str"/>
      <x:c r="P126" s="46" t="str">
        <x:v>אחזקה מונעת - בונדר דודים.xlsx</x:v>
      </x:c>
      <x:c r="Q126" s="46" t="str">
        <x:v>אמבטיות בונדר</x:v>
      </x:c>
      <x:c r="R126" s="46" t="n">
        <x:v>125</x:v>
      </x:c>
      <x:c r="S126" s="47" t="b">
        <x:v>1</x:v>
      </x:c>
    </x:row>
    <x:row r="127">
      <x:c r="A127" s="46" t="str">
        <x:v>PM-00124</x:v>
      </x:c>
      <x:c r="B127" s="46" t="str">
        <x:v>בדיקת אביזרי חשמל לתקינות (כולל כבלים ומחברים)</x:v>
      </x:c>
      <x:c r="C127" s="46" t="str">
        <x:v>בדיקת אביזרי חשמל לתקינות (כולל כבלים ומחברים)</x:v>
      </x:c>
      <x:c r="D127" s="46" t="str">
        <x:v>maintenance</x:v>
      </x:c>
      <x:c r="E127" s="46" t="n">
        <x:v>1</x:v>
      </x:c>
      <x:c r="F127" s="46" t="str">
        <x:v>month</x:v>
      </x:c>
      <x:c r="G127" s="46" t="n">
        <x:v>60</x:v>
      </x:c>
      <x:c r="H127" s="46" t="str"/>
      <x:c r="I127" s="47" t="b">
        <x:v>0</x:v>
      </x:c>
      <x:c r="J127" s="46" t="str">
        <x:v>medium</x:v>
      </x:c>
      <x:c r="K127" s="53" t="str"/>
      <x:c r="L127" s="53" t="str"/>
      <x:c r="M127" s="46" t="str"/>
      <x:c r="N127" s="46" t="str"/>
      <x:c r="O127" s="46" t="str"/>
      <x:c r="P127" s="46" t="str">
        <x:v>אחזקה מונעת - בונדר דודים.xlsx</x:v>
      </x:c>
      <x:c r="Q127" s="46" t="str">
        <x:v>אמבטיות בונדר</x:v>
      </x:c>
      <x:c r="R127" s="46" t="n">
        <x:v>126</x:v>
      </x:c>
      <x:c r="S127" s="47" t="b">
        <x:v>1</x:v>
      </x:c>
    </x:row>
    <x:row r="128">
      <x:c r="A128" s="46" t="str">
        <x:v>PM-00125</x:v>
      </x:c>
      <x:c r="B128" s="46" t="str">
        <x:v>בדיקת מפוחים בעבודה</x:v>
      </x:c>
      <x:c r="C128" s="46" t="str">
        <x:v>בדיקת מפוחים בעבודה</x:v>
      </x:c>
      <x:c r="D128" s="46" t="str">
        <x:v>operator_monitoring</x:v>
      </x:c>
      <x:c r="E128" s="46" t="n">
        <x:v>1</x:v>
      </x:c>
      <x:c r="F128" s="46" t="str">
        <x:v>day</x:v>
      </x:c>
      <x:c r="G128" s="46" t="n">
        <x:v>5</x:v>
      </x:c>
      <x:c r="H128" s="46" t="str"/>
      <x:c r="I128" s="47" t="b">
        <x:v>0</x:v>
      </x:c>
      <x:c r="J128" s="46" t="str">
        <x:v>medium</x:v>
      </x:c>
      <x:c r="K128" s="53" t="str"/>
      <x:c r="L128" s="53" t="str"/>
      <x:c r="M128" s="46" t="str"/>
      <x:c r="N128" s="46" t="str"/>
      <x:c r="O128" s="46" t="str"/>
      <x:c r="P128" s="46" t="str">
        <x:v>אחזקה מונעת - בונדר דודים.xlsx</x:v>
      </x:c>
      <x:c r="Q128" s="46" t="str">
        <x:v>אמבטיות בונדר</x:v>
      </x:c>
      <x:c r="R128" s="46" t="n">
        <x:v>127</x:v>
      </x:c>
      <x:c r="S128" s="47" t="b">
        <x:v>1</x:v>
      </x:c>
    </x:row>
    <x:row r="129">
      <x:c r="A129" s="46" t="str">
        <x:v>PM-00126</x:v>
      </x:c>
      <x:c r="B129" s="46" t="str">
        <x:v>ניקוי אמבטיה מגופים זרים</x:v>
      </x:c>
      <x:c r="C129" s="46" t="str">
        <x:v>ניקוי אמבטיה מגופים זרים</x:v>
      </x:c>
      <x:c r="D129" s="46" t="str">
        <x:v>operator_monitoring</x:v>
      </x:c>
      <x:c r="E129" s="46" t="n">
        <x:v>1</x:v>
      </x:c>
      <x:c r="F129" s="46" t="str">
        <x:v>week</x:v>
      </x:c>
      <x:c r="G129" s="46" t="n">
        <x:v>60</x:v>
      </x:c>
      <x:c r="H129" s="46" t="str"/>
      <x:c r="I129" s="47" t="b">
        <x:v>0</x:v>
      </x:c>
      <x:c r="J129" s="46" t="str">
        <x:v>medium</x:v>
      </x:c>
      <x:c r="K129" s="53" t="str"/>
      <x:c r="L129" s="53" t="str"/>
      <x:c r="M129" s="46" t="str"/>
      <x:c r="N129" s="46" t="str"/>
      <x:c r="O129" s="46" t="str">
        <x:v>במידת הצורך</x:v>
      </x:c>
      <x:c r="P129" s="46" t="str">
        <x:v>אחזקה מונעת - בונדר דודים.xlsx</x:v>
      </x:c>
      <x:c r="Q129" s="46" t="str">
        <x:v>אמבטיות בונדר</x:v>
      </x:c>
      <x:c r="R129" s="46" t="n">
        <x:v>128</x:v>
      </x:c>
      <x:c r="S129" s="47" t="b">
        <x:v>1</x:v>
      </x:c>
    </x:row>
    <x:row r="130">
      <x:c r="A130" s="46" t="str">
        <x:v>PM-00127</x:v>
      </x:c>
      <x:c r="B130" s="46" t="str">
        <x:v>בדיקת רצועות הנעה של המפוחים</x:v>
      </x:c>
      <x:c r="C130" s="46" t="str">
        <x:v>בדיקת רצועות הנעה של המפוחים</x:v>
      </x:c>
      <x:c r="D130" s="46" t="str">
        <x:v>maintenance</x:v>
      </x:c>
      <x:c r="E130" s="46" t="n">
        <x:v>1</x:v>
      </x:c>
      <x:c r="F130" s="46" t="str">
        <x:v>week</x:v>
      </x:c>
      <x:c r="G130" s="46" t="n">
        <x:v>30</x:v>
      </x:c>
      <x:c r="H130" s="46" t="str"/>
      <x:c r="I130" s="47" t="b">
        <x:v>0</x:v>
      </x:c>
      <x:c r="J130" s="46" t="str">
        <x:v>medium</x:v>
      </x:c>
      <x:c r="K130" s="53" t="str"/>
      <x:c r="L130" s="53" t="str"/>
      <x:c r="M130" s="46" t="str"/>
      <x:c r="N130" s="46" t="str"/>
      <x:c r="O130" s="46" t="str"/>
      <x:c r="P130" s="46" t="str">
        <x:v>אחזקה מונעת - בונדר דודים.xlsx</x:v>
      </x:c>
      <x:c r="Q130" s="46" t="str">
        <x:v>אמבטיות בונדר</x:v>
      </x:c>
      <x:c r="R130" s="46" t="n">
        <x:v>129</x:v>
      </x:c>
      <x:c r="S130" s="47" t="b">
        <x:v>1</x:v>
      </x:c>
    </x:row>
    <x:row r="131">
      <x:c r="A131" s="46" t="str">
        <x:v>PM-00128</x:v>
      </x:c>
      <x:c r="B131" s="46" t="str">
        <x:v>בדיקת מפוח בעבודה לרעשים חריגים</x:v>
      </x:c>
      <x:c r="C131" s="46" t="str">
        <x:v>בדיקת מפוח בעבודה לרעשים חריגים</x:v>
      </x:c>
      <x:c r="D131" s="46" t="str">
        <x:v>maintenance</x:v>
      </x:c>
      <x:c r="E131" s="46" t="n">
        <x:v>1</x:v>
      </x:c>
      <x:c r="F131" s="46" t="str">
        <x:v>week</x:v>
      </x:c>
      <x:c r="G131" s="46" t="n">
        <x:v>10</x:v>
      </x:c>
      <x:c r="H131" s="46" t="str"/>
      <x:c r="I131" s="47" t="b">
        <x:v>0</x:v>
      </x:c>
      <x:c r="J131" s="46" t="str">
        <x:v>medium</x:v>
      </x:c>
      <x:c r="K131" s="53" t="str"/>
      <x:c r="L131" s="53" t="str"/>
      <x:c r="M131" s="46" t="str"/>
      <x:c r="N131" s="46" t="str"/>
      <x:c r="O131" s="46" t="str"/>
      <x:c r="P131" s="46" t="str">
        <x:v>אחזקה מונעת - בונדר דודים.xlsx</x:v>
      </x:c>
      <x:c r="Q131" s="46" t="str">
        <x:v>אמבטיות בונדר</x:v>
      </x:c>
      <x:c r="R131" s="46" t="n">
        <x:v>130</x:v>
      </x:c>
      <x:c r="S131" s="47" t="b">
        <x:v>1</x:v>
      </x:c>
    </x:row>
    <x:row r="132">
      <x:c r="A132" s="46" t="str">
        <x:v>PM-00129</x:v>
      </x:c>
      <x:c r="B132" s="46" t="str">
        <x:v>בדיקת גופי חימום ואביזרי חשמל אחרים</x:v>
      </x:c>
      <x:c r="C132" s="46" t="str">
        <x:v>בדיקת גופי חימום ואביזרי חשמל אחרים</x:v>
      </x:c>
      <x:c r="D132" s="46" t="str">
        <x:v>maintenance</x:v>
      </x:c>
      <x:c r="E132" s="46" t="n">
        <x:v>1</x:v>
      </x:c>
      <x:c r="F132" s="46" t="str">
        <x:v>month</x:v>
      </x:c>
      <x:c r="G132" s="46" t="n">
        <x:v>180</x:v>
      </x:c>
      <x:c r="H132" s="46" t="str"/>
      <x:c r="I132" s="47" t="b">
        <x:v>0</x:v>
      </x:c>
      <x:c r="J132" s="46" t="str">
        <x:v>medium</x:v>
      </x:c>
      <x:c r="K132" s="53" t="str"/>
      <x:c r="L132" s="53" t="str"/>
      <x:c r="M132" s="46" t="str"/>
      <x:c r="N132" s="46" t="str"/>
      <x:c r="O132" s="46" t="str"/>
      <x:c r="P132" s="46" t="str">
        <x:v>אחזקה מונעת - בונדר דודים.xlsx</x:v>
      </x:c>
      <x:c r="Q132" s="46" t="str">
        <x:v>אמבטיות בונדר</x:v>
      </x:c>
      <x:c r="R132" s="46" t="n">
        <x:v>131</x:v>
      </x:c>
      <x:c r="S132" s="47" t="b">
        <x:v>1</x:v>
      </x:c>
    </x:row>
    <x:row r="133">
      <x:c r="A133" s="46" t="str">
        <x:v>PM-00130</x:v>
      </x:c>
      <x:c r="B133" s="46" t="str">
        <x:v>ניקוי ארון חשמל מאבק ע"י לחץ אויר</x:v>
      </x:c>
      <x:c r="C133" s="46" t="str">
        <x:v>ניקוי ארון חשמל מאבק ע"י לחץ אויר</x:v>
      </x:c>
      <x:c r="D133" s="46" t="str">
        <x:v>maintenance</x:v>
      </x:c>
      <x:c r="E133" s="46" t="n">
        <x:v>1</x:v>
      </x:c>
      <x:c r="F133" s="46" t="str">
        <x:v>year</x:v>
      </x:c>
      <x:c r="G133" s="46" t="n">
        <x:v>30</x:v>
      </x:c>
      <x:c r="H133" s="46" t="str"/>
      <x:c r="I133" s="47" t="b">
        <x:v>0</x:v>
      </x:c>
      <x:c r="J133" s="46" t="str">
        <x:v>medium</x:v>
      </x:c>
      <x:c r="K133" s="53" t="str"/>
      <x:c r="L133" s="53" t="str"/>
      <x:c r="M133" s="46" t="str"/>
      <x:c r="N133" s="46" t="str"/>
      <x:c r="O133" s="46" t="str">
        <x:v>יש להביא חברה לניתוק מע' כיבוי אש בארון</x:v>
      </x:c>
      <x:c r="P133" s="46" t="str">
        <x:v>אחזקה מונעת - בונדר דודים.xlsx</x:v>
      </x:c>
      <x:c r="Q133" s="46" t="str">
        <x:v>אמבטיות בונדר</x:v>
      </x:c>
      <x:c r="R133" s="46" t="n">
        <x:v>132</x:v>
      </x:c>
      <x:c r="S133" s="47" t="b">
        <x:v>1</x:v>
      </x:c>
    </x:row>
    <x:row r="134">
      <x:c r="A134" s="46" t="str">
        <x:v>PM-00131</x:v>
      </x:c>
      <x:c r="B134" s="46" t="str">
        <x:v>בדיקת ארון חשמל והידוק ברגים</x:v>
      </x:c>
      <x:c r="C134" s="46" t="str">
        <x:v>בדיקת ארון חשמל והידוק ברגים</x:v>
      </x:c>
      <x:c r="D134" s="46" t="str">
        <x:v>maintenance</x:v>
      </x:c>
      <x:c r="E134" s="46" t="n">
        <x:v>1</x:v>
      </x:c>
      <x:c r="F134" s="46" t="str">
        <x:v>year</x:v>
      </x:c>
      <x:c r="G134" s="46" t="n">
        <x:v>60</x:v>
      </x:c>
      <x:c r="H134" s="46" t="str"/>
      <x:c r="I134" s="47" t="b">
        <x:v>0</x:v>
      </x:c>
      <x:c r="J134" s="46" t="str">
        <x:v>medium</x:v>
      </x:c>
      <x:c r="K134" s="53" t="str"/>
      <x:c r="L134" s="53" t="str"/>
      <x:c r="M134" s="46" t="str"/>
      <x:c r="N134" s="46" t="str"/>
      <x:c r="O134" s="46" t="str"/>
      <x:c r="P134" s="46" t="str">
        <x:v>אחזקה מונעת - בונדר דודים.xlsx</x:v>
      </x:c>
      <x:c r="Q134" s="46" t="str">
        <x:v>אמבטיות בונדר</x:v>
      </x:c>
      <x:c r="R134" s="46" t="n">
        <x:v>133</x:v>
      </x:c>
      <x:c r="S134" s="47" t="b">
        <x:v>1</x:v>
      </x:c>
    </x:row>
    <x:row r="135">
      <x:c r="A135" s="46" t="str">
        <x:v>PM-00132</x:v>
      </x:c>
      <x:c r="B135" s="46" t="str">
        <x:v>בדיקת תקינות המסוע בזמן עבודתו</x:v>
      </x:c>
      <x:c r="C135" s="46" t="str">
        <x:v>בדיקת תקינות המסוע בזמן עבודתו</x:v>
      </x:c>
      <x:c r="D135" s="46" t="str">
        <x:v>operator_monitoring</x:v>
      </x:c>
      <x:c r="E135" s="46" t="n">
        <x:v>1</x:v>
      </x:c>
      <x:c r="F135" s="46" t="str">
        <x:v>day</x:v>
      </x:c>
      <x:c r="G135" s="46" t="n">
        <x:v>10</x:v>
      </x:c>
      <x:c r="H135" s="46" t="str"/>
      <x:c r="I135" s="47" t="b">
        <x:v>0</x:v>
      </x:c>
      <x:c r="J135" s="46" t="str">
        <x:v>medium</x:v>
      </x:c>
      <x:c r="K135" s="53" t="str"/>
      <x:c r="L135" s="53" t="str"/>
      <x:c r="M135" s="46" t="str"/>
      <x:c r="N135" s="46" t="str"/>
      <x:c r="O135" s="46" t="str">
        <x:v>בעת אי תקינות כולשהי או רעש חריג יש לדווח לאיש אחזקה</x:v>
      </x:c>
      <x:c r="P135" s="46" t="str">
        <x:v>אחזקה מונעת - בונדר דודים.xlsx</x:v>
      </x:c>
      <x:c r="Q135" s="46" t="str">
        <x:v>מעלית ומסוע עלי</x:v>
      </x:c>
      <x:c r="R135" s="46" t="n">
        <x:v>134</x:v>
      </x:c>
      <x:c r="S135" s="47" t="b">
        <x:v>1</x:v>
      </x:c>
    </x:row>
    <x:row r="136">
      <x:c r="A136" s="46" t="str">
        <x:v>PM-00133</x:v>
      </x:c>
      <x:c r="B136" s="46" t="str">
        <x:v>בדיקה לרעשים חריגים</x:v>
      </x:c>
      <x:c r="C136" s="46" t="str">
        <x:v>בדיקה לרעשים חריגים</x:v>
      </x:c>
      <x:c r="D136" s="46" t="str">
        <x:v>operator_monitoring</x:v>
      </x:c>
      <x:c r="E136" s="46" t="n">
        <x:v>1</x:v>
      </x:c>
      <x:c r="F136" s="46" t="str">
        <x:v>week</x:v>
      </x:c>
      <x:c r="G136" s="46" t="n">
        <x:v>10</x:v>
      </x:c>
      <x:c r="H136" s="46" t="str"/>
      <x:c r="I136" s="47" t="b">
        <x:v>0</x:v>
      </x:c>
      <x:c r="J136" s="46" t="str">
        <x:v>medium</x:v>
      </x:c>
      <x:c r="K136" s="53" t="str"/>
      <x:c r="L136" s="53" t="str"/>
      <x:c r="M136" s="46" t="str"/>
      <x:c r="N136" s="46" t="str"/>
      <x:c r="O136" s="46" t="str"/>
      <x:c r="P136" s="46" t="str">
        <x:v>אחזקה מונעת - בונדר דודים.xlsx</x:v>
      </x:c>
      <x:c r="Q136" s="46" t="str">
        <x:v>מעלית ומסוע עלי</x:v>
      </x:c>
      <x:c r="R136" s="46" t="n">
        <x:v>135</x:v>
      </x:c>
      <x:c r="S136" s="47" t="b">
        <x:v>1</x:v>
      </x:c>
    </x:row>
    <x:row r="137">
      <x:c r="A137" s="46" t="str">
        <x:v>PM-00134</x:v>
      </x:c>
      <x:c r="B137" s="46" t="str">
        <x:v>ניקוי חלודה וצביעת המכונה</x:v>
      </x:c>
      <x:c r="C137" s="46" t="str">
        <x:v>ניקוי חלודה וצביעת המכונה</x:v>
      </x:c>
      <x:c r="D137" s="46" t="str">
        <x:v>operator_monitoring</x:v>
      </x:c>
      <x:c r="E137" s="46" t="n">
        <x:v>1</x:v>
      </x:c>
      <x:c r="F137" s="46" t="str">
        <x:v>year</x:v>
      </x:c>
      <x:c r="G137" s="46" t="n">
        <x:v>480</x:v>
      </x:c>
      <x:c r="H137" s="46" t="str"/>
      <x:c r="I137" s="47" t="b">
        <x:v>0</x:v>
      </x:c>
      <x:c r="J137" s="46" t="str">
        <x:v>medium</x:v>
      </x:c>
      <x:c r="K137" s="53" t="str"/>
      <x:c r="L137" s="53" t="str"/>
      <x:c r="M137" s="46" t="str"/>
      <x:c r="N137" s="46" t="str">
        <x:v>צבע עמיד בסביבה קורוזיוית</x:v>
      </x:c>
      <x:c r="O137" s="46" t="str"/>
      <x:c r="P137" s="46" t="str">
        <x:v>אחזקה מונעת - בונדר דודים.xlsx</x:v>
      </x:c>
      <x:c r="Q137" s="46" t="str">
        <x:v>מעלית ומסוע עלי</x:v>
      </x:c>
      <x:c r="R137" s="46" t="n">
        <x:v>136</x:v>
      </x:c>
      <x:c r="S137" s="47" t="b">
        <x:v>1</x:v>
      </x:c>
    </x:row>
    <x:row r="138">
      <x:c r="A138" s="46" t="str">
        <x:v>PM-00135</x:v>
      </x:c>
      <x:c r="B138" s="46" t="str">
        <x:v>בדיקת מצב שרשרות הנעה ומתיחתם במידת הצורך</x:v>
      </x:c>
      <x:c r="C138" s="46" t="str">
        <x:v>בדיקת מצב שרשרות הנעה ומתיחתם במידת הצורך</x:v>
      </x:c>
      <x:c r="D138" s="46" t="str">
        <x:v>maintenance</x:v>
      </x:c>
      <x:c r="E138" s="46" t="n">
        <x:v>1</x:v>
      </x:c>
      <x:c r="F138" s="46" t="str">
        <x:v>week</x:v>
      </x:c>
      <x:c r="G138" s="46" t="n">
        <x:v>120</x:v>
      </x:c>
      <x:c r="H138" s="46" t="str"/>
      <x:c r="I138" s="47" t="b">
        <x:v>0</x:v>
      </x:c>
      <x:c r="J138" s="46" t="str">
        <x:v>medium</x:v>
      </x:c>
      <x:c r="K138" s="53" t="str"/>
      <x:c r="L138" s="53" t="str"/>
      <x:c r="M138" s="46" t="str"/>
      <x:c r="N138" s="46" t="str"/>
      <x:c r="O138" s="46" t="str"/>
      <x:c r="P138" s="46" t="str">
        <x:v>אחזקה מונעת - בונדר דודים.xlsx</x:v>
      </x:c>
      <x:c r="Q138" s="46" t="str">
        <x:v>מעלית ומסוע עלי</x:v>
      </x:c>
      <x:c r="R138" s="46" t="n">
        <x:v>137</x:v>
      </x:c>
      <x:c r="S138" s="47" t="b">
        <x:v>1</x:v>
      </x:c>
    </x:row>
    <x:row r="139">
      <x:c r="A139" s="46" t="str">
        <x:v>PM-00136</x:v>
      </x:c>
      <x:c r="B139" s="46" t="str">
        <x:v>ניקוי מסילות אופקיים בלחץ אויר</x:v>
      </x:c>
      <x:c r="C139" s="46" t="str">
        <x:v>ניקוי מסילות אופקיים בלחץ אויר</x:v>
      </x:c>
      <x:c r="D139" s="46" t="str">
        <x:v>maintenance</x:v>
      </x:c>
      <x:c r="E139" s="46" t="n">
        <x:v>1</x:v>
      </x:c>
      <x:c r="F139" s="46" t="str">
        <x:v>week</x:v>
      </x:c>
      <x:c r="G139" s="46" t="n">
        <x:v>20</x:v>
      </x:c>
      <x:c r="H139" s="46" t="str"/>
      <x:c r="I139" s="47" t="b">
        <x:v>0</x:v>
      </x:c>
      <x:c r="J139" s="46" t="str">
        <x:v>medium</x:v>
      </x:c>
      <x:c r="K139" s="53" t="str"/>
      <x:c r="L139" s="53" t="str"/>
      <x:c r="M139" s="46" t="str"/>
      <x:c r="N139" s="46" t="str"/>
      <x:c r="O139" s="46" t="str"/>
      <x:c r="P139" s="46" t="str">
        <x:v>אחזקה מונעת - בונדר דודים.xlsx</x:v>
      </x:c>
      <x:c r="Q139" s="46" t="str">
        <x:v>מעלית ומסוע עלי</x:v>
      </x:c>
      <x:c r="R139" s="46" t="n">
        <x:v>138</x:v>
      </x:c>
      <x:c r="S139" s="47" t="b">
        <x:v>1</x:v>
      </x:c>
    </x:row>
    <x:row r="140">
      <x:c r="A140" s="46" t="str">
        <x:v>PM-00137</x:v>
      </x:c>
      <x:c r="B140" s="46" t="str">
        <x:v>שימון מסילות אופקיים בספריי יבש בלבד</x:v>
      </x:c>
      <x:c r="C140" s="46" t="str">
        <x:v>שימון מסילות אופקיים בספריי יבש בלבד</x:v>
      </x:c>
      <x:c r="D140" s="46" t="str">
        <x:v>maintenance</x:v>
      </x:c>
      <x:c r="E140" s="46" t="n">
        <x:v>1</x:v>
      </x:c>
      <x:c r="F140" s="46" t="str">
        <x:v>week</x:v>
      </x:c>
      <x:c r="G140" s="46" t="n">
        <x:v>60</x:v>
      </x:c>
      <x:c r="H140" s="46" t="str"/>
      <x:c r="I140" s="47" t="b">
        <x:v>0</x:v>
      </x:c>
      <x:c r="J140" s="46" t="str">
        <x:v>medium</x:v>
      </x:c>
      <x:c r="K140" s="53" t="str"/>
      <x:c r="L140" s="53" t="str"/>
      <x:c r="M140" s="46" t="str"/>
      <x:c r="N140" s="46" t="str"/>
      <x:c r="O140" s="46" t="str"/>
      <x:c r="P140" s="46" t="str">
        <x:v>אחזקה מונעת - בונדר דודים.xlsx</x:v>
      </x:c>
      <x:c r="Q140" s="46" t="str">
        <x:v>מעלית ומסוע עלי</x:v>
      </x:c>
      <x:c r="R140" s="46" t="n">
        <x:v>139</x:v>
      </x:c>
      <x:c r="S140" s="47" t="b">
        <x:v>1</x:v>
      </x:c>
    </x:row>
    <x:row r="141">
      <x:c r="A141" s="46" t="str">
        <x:v>PM-00138</x:v>
      </x:c>
      <x:c r="B141" s="46" t="str">
        <x:v>בדיקת תקינות יחידות הנעה</x:v>
      </x:c>
      <x:c r="C141" s="46" t="str">
        <x:v>בדיקת תקינות יחידות הנעה</x:v>
      </x:c>
      <x:c r="D141" s="46" t="str">
        <x:v>maintenance</x:v>
      </x:c>
      <x:c r="E141" s="46" t="n">
        <x:v>1</x:v>
      </x:c>
      <x:c r="F141" s="46" t="str">
        <x:v>week</x:v>
      </x:c>
      <x:c r="G141" s="46" t="n">
        <x:v>30</x:v>
      </x:c>
      <x:c r="H141" s="46" t="str"/>
      <x:c r="I141" s="47" t="b">
        <x:v>0</x:v>
      </x:c>
      <x:c r="J141" s="46" t="str">
        <x:v>medium</x:v>
      </x:c>
      <x:c r="K141" s="53" t="str"/>
      <x:c r="L141" s="53" t="str"/>
      <x:c r="M141" s="46" t="str"/>
      <x:c r="N141" s="46" t="str"/>
      <x:c r="O141" s="46" t="str"/>
      <x:c r="P141" s="46" t="str">
        <x:v>אחזקה מונעת - בונדר דודים.xlsx</x:v>
      </x:c>
      <x:c r="Q141" s="46" t="str">
        <x:v>מעלית ומסוע עלי</x:v>
      </x:c>
      <x:c r="R141" s="46" t="n">
        <x:v>140</x:v>
      </x:c>
      <x:c r="S141" s="47" t="b">
        <x:v>1</x:v>
      </x:c>
    </x:row>
    <x:row r="142">
      <x:c r="A142" s="46" t="str">
        <x:v>PM-00139</x:v>
      </x:c>
      <x:c r="B142" s="46" t="str">
        <x:v>חיזוק ברגים של גג"שים וקופלונגים</x:v>
      </x:c>
      <x:c r="C142" s="46" t="str">
        <x:v>חיזוק ברגים של גג"שים וקופלונגים</x:v>
      </x:c>
      <x:c r="D142" s="46" t="str">
        <x:v>maintenance</x:v>
      </x:c>
      <x:c r="E142" s="46" t="n">
        <x:v>1</x:v>
      </x:c>
      <x:c r="F142" s="46" t="str">
        <x:v>week</x:v>
      </x:c>
      <x:c r="G142" s="46" t="n">
        <x:v>60</x:v>
      </x:c>
      <x:c r="H142" s="46" t="str"/>
      <x:c r="I142" s="47" t="b">
        <x:v>0</x:v>
      </x:c>
      <x:c r="J142" s="46" t="str">
        <x:v>medium</x:v>
      </x:c>
      <x:c r="K142" s="53" t="str"/>
      <x:c r="L142" s="53" t="str"/>
      <x:c r="M142" s="46" t="str"/>
      <x:c r="N142" s="46" t="str"/>
      <x:c r="O142" s="46" t="str"/>
      <x:c r="P142" s="46" t="str">
        <x:v>אחזקה מונעת - בונדר דודים.xlsx</x:v>
      </x:c>
      <x:c r="Q142" s="46" t="str">
        <x:v>מעלית ומסוע עלי</x:v>
      </x:c>
      <x:c r="R142" s="46" t="n">
        <x:v>141</x:v>
      </x:c>
      <x:c r="S142" s="47" t="b">
        <x:v>1</x:v>
      </x:c>
    </x:row>
    <x:row r="143">
      <x:c r="A143" s="46" t="str">
        <x:v>PM-00140</x:v>
      </x:c>
      <x:c r="B143" s="46" t="str">
        <x:v>ניקוי ושימון שרשרות הנעה ושרשרות המעלית</x:v>
      </x:c>
      <x:c r="C143" s="46" t="str">
        <x:v>ניקוי ושימון שרשרות הנעה ושרשרות המעלית</x:v>
      </x:c>
      <x:c r="D143" s="46" t="str">
        <x:v>maintenance</x:v>
      </x:c>
      <x:c r="E143" s="46" t="n">
        <x:v>1</x:v>
      </x:c>
      <x:c r="F143" s="46" t="str">
        <x:v>month</x:v>
      </x:c>
      <x:c r="G143" s="46" t="n">
        <x:v>30</x:v>
      </x:c>
      <x:c r="H143" s="46" t="str"/>
      <x:c r="I143" s="47" t="b">
        <x:v>0</x:v>
      </x:c>
      <x:c r="J143" s="46" t="str">
        <x:v>medium</x:v>
      </x:c>
      <x:c r="K143" s="53" t="str"/>
      <x:c r="L143" s="53" t="str"/>
      <x:c r="M143" s="46" t="str"/>
      <x:c r="N143" s="46" t="str"/>
      <x:c r="O143" s="46" t="str"/>
      <x:c r="P143" s="46" t="str">
        <x:v>אחזקה מונעת - בונדר דודים.xlsx</x:v>
      </x:c>
      <x:c r="Q143" s="46" t="str">
        <x:v>מעלית ומסוע עלי</x:v>
      </x:c>
      <x:c r="R143" s="46" t="n">
        <x:v>142</x:v>
      </x:c>
      <x:c r="S143" s="47" t="b">
        <x:v>1</x:v>
      </x:c>
    </x:row>
    <x:row r="144">
      <x:c r="A144" s="46" t="str">
        <x:v>PM-00141</x:v>
      </x:c>
      <x:c r="B144" s="46" t="str">
        <x:v>ניקוי וגירוז מסילות אנכיים ומיסבים</x:v>
      </x:c>
      <x:c r="C144" s="46" t="str">
        <x:v>ניקוי וגירוז מסילות אנכיים ומיסבים</x:v>
      </x:c>
      <x:c r="D144" s="46" t="str">
        <x:v>maintenance</x:v>
      </x:c>
      <x:c r="E144" s="46" t="n">
        <x:v>1</x:v>
      </x:c>
      <x:c r="F144" s="46" t="str">
        <x:v>month</x:v>
      </x:c>
      <x:c r="G144" s="46" t="n">
        <x:v>60</x:v>
      </x:c>
      <x:c r="H144" s="46" t="str"/>
      <x:c r="I144" s="47" t="b">
        <x:v>0</x:v>
      </x:c>
      <x:c r="J144" s="46" t="str">
        <x:v>medium</x:v>
      </x:c>
      <x:c r="K144" s="53" t="str"/>
      <x:c r="L144" s="53" t="str"/>
      <x:c r="M144" s="46" t="str"/>
      <x:c r="N144" s="46" t="str"/>
      <x:c r="O144" s="46" t="str"/>
      <x:c r="P144" s="46" t="str">
        <x:v>אחזקה מונעת - בונדר דודים.xlsx</x:v>
      </x:c>
      <x:c r="Q144" s="46" t="str">
        <x:v>מעלית ומסוע עלי</x:v>
      </x:c>
      <x:c r="R144" s="46" t="n">
        <x:v>143</x:v>
      </x:c>
      <x:c r="S144" s="47" t="b">
        <x:v>1</x:v>
      </x:c>
    </x:row>
    <x:row r="145">
      <x:c r="A145" s="46" t="str">
        <x:v>PM-00142</x:v>
      </x:c>
      <x:c r="B145" s="46" t="str">
        <x:v>בדיקת ברקסים במנועים</x:v>
      </x:c>
      <x:c r="C145" s="46" t="str">
        <x:v>בדיקת ברקסים במנועים</x:v>
      </x:c>
      <x:c r="D145" s="46" t="str">
        <x:v>maintenance</x:v>
      </x:c>
      <x:c r="E145" s="46" t="n">
        <x:v>1</x:v>
      </x:c>
      <x:c r="F145" s="46" t="str">
        <x:v>year</x:v>
      </x:c>
      <x:c r="G145" s="46" t="n">
        <x:v>60</x:v>
      </x:c>
      <x:c r="H145" s="46" t="str"/>
      <x:c r="I145" s="47" t="b">
        <x:v>0</x:v>
      </x:c>
      <x:c r="J145" s="46" t="str">
        <x:v>medium</x:v>
      </x:c>
      <x:c r="K145" s="53" t="str"/>
      <x:c r="L145" s="53" t="str"/>
      <x:c r="M145" s="46" t="str"/>
      <x:c r="N145" s="46" t="str"/>
      <x:c r="O145" s="46" t="str"/>
      <x:c r="P145" s="46" t="str">
        <x:v>אחזקה מונעת - בונדר דודים.xlsx</x:v>
      </x:c>
      <x:c r="Q145" s="46" t="str">
        <x:v>מעלית ומסוע עלי</x:v>
      </x:c>
      <x:c r="R145" s="46" t="n">
        <x:v>144</x:v>
      </x:c>
      <x:c r="S145" s="47" t="b">
        <x:v>1</x:v>
      </x:c>
    </x:row>
    <x:row r="146">
      <x:c r="A146" s="46" t="str">
        <x:v>PM-00143</x:v>
      </x:c>
      <x:c r="B146" s="46" t="str">
        <x:v>בדיקת אינקודרים לתקינות, בדיקת רצועות טיימינג של אינקודר</x:v>
      </x:c>
      <x:c r="C146" s="46" t="str">
        <x:v>בדיקת אינקודרים לתקינות, בדיקת רצועות טיימינג של אינקודר</x:v>
      </x:c>
      <x:c r="D146" s="46" t="str">
        <x:v>maintenance</x:v>
      </x:c>
      <x:c r="E146" s="46" t="n">
        <x:v>1</x:v>
      </x:c>
      <x:c r="F146" s="46" t="str">
        <x:v>week</x:v>
      </x:c>
      <x:c r="G146" s="46" t="n">
        <x:v>60</x:v>
      </x:c>
      <x:c r="H146" s="46" t="str"/>
      <x:c r="I146" s="47" t="b">
        <x:v>0</x:v>
      </x:c>
      <x:c r="J146" s="46" t="str">
        <x:v>medium</x:v>
      </x:c>
      <x:c r="K146" s="53" t="str"/>
      <x:c r="L146" s="53" t="str"/>
      <x:c r="M146" s="46" t="str"/>
      <x:c r="N146" s="46" t="str"/>
      <x:c r="O146" s="46" t="str"/>
      <x:c r="P146" s="46" t="str">
        <x:v>אחזקה מונעת - בונדר דודים.xlsx</x:v>
      </x:c>
      <x:c r="Q146" s="46" t="str">
        <x:v>מעלית ומסוע עלי</x:v>
      </x:c>
      <x:c r="R146" s="46" t="n">
        <x:v>145</x:v>
      </x:c>
      <x:c r="S146" s="47" t="b">
        <x:v>1</x:v>
      </x:c>
    </x:row>
    <x:row r="147">
      <x:c r="A147" s="46" t="str">
        <x:v>PM-00144</x:v>
      </x:c>
      <x:c r="B147" s="46" t="str">
        <x:v>בדיקת אביזרי חשמל לתקינות (כולל כבלים ומחברים)</x:v>
      </x:c>
      <x:c r="C147" s="46" t="str">
        <x:v>בדיקת אביזרי חשמל לתקינות (כולל כבלים ומחברים)</x:v>
      </x:c>
      <x:c r="D147" s="46" t="str">
        <x:v>maintenance</x:v>
      </x:c>
      <x:c r="E147" s="46" t="n">
        <x:v>1</x:v>
      </x:c>
      <x:c r="F147" s="46" t="str">
        <x:v>month</x:v>
      </x:c>
      <x:c r="G147" s="46" t="n">
        <x:v>30</x:v>
      </x:c>
      <x:c r="H147" s="46" t="str"/>
      <x:c r="I147" s="47" t="b">
        <x:v>0</x:v>
      </x:c>
      <x:c r="J147" s="46" t="str">
        <x:v>medium</x:v>
      </x:c>
      <x:c r="K147" s="53" t="str"/>
      <x:c r="L147" s="53" t="str"/>
      <x:c r="M147" s="46" t="str"/>
      <x:c r="N147" s="46" t="str"/>
      <x:c r="O147" s="46" t="str"/>
      <x:c r="P147" s="46" t="str">
        <x:v>אחזקה מונעת - בונדר דודים.xlsx</x:v>
      </x:c>
      <x:c r="Q147" s="46" t="str">
        <x:v>מעלית ומסוע עלי</x:v>
      </x:c>
      <x:c r="R147" s="46" t="n">
        <x:v>146</x:v>
      </x:c>
      <x:c r="S147" s="47" t="b">
        <x:v>1</x:v>
      </x:c>
    </x:row>
    <x:row r="148">
      <x:c r="A148" s="46" t="str">
        <x:v>PM-00145</x:v>
      </x:c>
      <x:c r="B148" s="46" t="str">
        <x:v>בדיקת לחצנים לתקינות (כולל לחצני חרום)</x:v>
      </x:c>
      <x:c r="C148" s="46" t="str">
        <x:v>בדיקת לחצנים לתקינות (כולל לחצני חרום)</x:v>
      </x:c>
      <x:c r="D148" s="46" t="str">
        <x:v>maintenance</x:v>
      </x:c>
      <x:c r="E148" s="46" t="n">
        <x:v>1</x:v>
      </x:c>
      <x:c r="F148" s="46" t="str">
        <x:v>month</x:v>
      </x:c>
      <x:c r="G148" s="46" t="n">
        <x:v>30</x:v>
      </x:c>
      <x:c r="H148" s="46" t="str"/>
      <x:c r="I148" s="47" t="b">
        <x:v>0</x:v>
      </x:c>
      <x:c r="J148" s="46" t="str">
        <x:v>medium</x:v>
      </x:c>
      <x:c r="K148" s="53" t="str"/>
      <x:c r="L148" s="53" t="str"/>
      <x:c r="M148" s="46" t="str"/>
      <x:c r="N148" s="46" t="str"/>
      <x:c r="O148" s="46" t="str"/>
      <x:c r="P148" s="46" t="str">
        <x:v>אחזקה מונעת - בונדר דודים.xlsx</x:v>
      </x:c>
      <x:c r="Q148" s="46" t="str">
        <x:v>מעלית ומסוע עלי</x:v>
      </x:c>
      <x:c r="R148" s="46" t="n">
        <x:v>147</x:v>
      </x:c>
      <x:c r="S148" s="47" t="b">
        <x:v>1</x:v>
      </x:c>
    </x:row>
    <x:row r="149">
      <x:c r="A149" s="46" t="str">
        <x:v>PM-00146</x:v>
      </x:c>
      <x:c r="B149" s="46" t="str">
        <x:v>בדיקת מנגנוני עצירת חרום לתקינות</x:v>
      </x:c>
      <x:c r="C149" s="46" t="str">
        <x:v>בדיקת מנגנוני עצירת חרום לתקינות</x:v>
      </x:c>
      <x:c r="D149" s="46" t="str">
        <x:v>maintenance</x:v>
      </x:c>
      <x:c r="E149" s="46" t="n">
        <x:v>1</x:v>
      </x:c>
      <x:c r="F149" s="46" t="str">
        <x:v>month</x:v>
      </x:c>
      <x:c r="G149" s="46" t="n">
        <x:v>15</x:v>
      </x:c>
      <x:c r="H149" s="46" t="str"/>
      <x:c r="I149" s="47" t="b">
        <x:v>0</x:v>
      </x:c>
      <x:c r="J149" s="46" t="str">
        <x:v>medium</x:v>
      </x:c>
      <x:c r="K149" s="53" t="str"/>
      <x:c r="L149" s="53" t="str"/>
      <x:c r="M149" s="46" t="str"/>
      <x:c r="N149" s="46" t="str"/>
      <x:c r="O149" s="46" t="str"/>
      <x:c r="P149" s="46" t="str">
        <x:v>אחזקה מונעת - בונדר דודים.xlsx</x:v>
      </x:c>
      <x:c r="Q149" s="46" t="str">
        <x:v>מעלית ומסוע עלי</x:v>
      </x:c>
      <x:c r="R149" s="46" t="n">
        <x:v>148</x:v>
      </x:c>
      <x:c r="S149" s="47" t="b">
        <x:v>1</x:v>
      </x:c>
    </x:row>
    <x:row r="150">
      <x:c r="A150" s="46" t="str">
        <x:v>PM-00147</x:v>
      </x:c>
      <x:c r="B150" s="46" t="str">
        <x:v>ניקוי ארון חשמל ע"י אויר</x:v>
      </x:c>
      <x:c r="C150" s="46" t="str">
        <x:v>ניקוי ארון חשמל ע"י אויר</x:v>
      </x:c>
      <x:c r="D150" s="46" t="str">
        <x:v>maintenance</x:v>
      </x:c>
      <x:c r="E150" s="46" t="n">
        <x:v>1</x:v>
      </x:c>
      <x:c r="F150" s="46" t="str">
        <x:v>year</x:v>
      </x:c>
      <x:c r="G150" s="46" t="n">
        <x:v>30</x:v>
      </x:c>
      <x:c r="H150" s="46" t="str"/>
      <x:c r="I150" s="47" t="b">
        <x:v>0</x:v>
      </x:c>
      <x:c r="J150" s="46" t="str">
        <x:v>medium</x:v>
      </x:c>
      <x:c r="K150" s="53" t="str"/>
      <x:c r="L150" s="53" t="str"/>
      <x:c r="M150" s="46" t="str"/>
      <x:c r="N150" s="46" t="str"/>
      <x:c r="O150" s="46" t="str"/>
      <x:c r="P150" s="46" t="str">
        <x:v>אחזקה מונעת - בונדר דודים.xlsx</x:v>
      </x:c>
      <x:c r="Q150" s="46" t="str">
        <x:v>מעלית ומסוע עלי</x:v>
      </x:c>
      <x:c r="R150" s="46" t="n">
        <x:v>149</x:v>
      </x:c>
      <x:c r="S150" s="47" t="b">
        <x:v>1</x:v>
      </x:c>
    </x:row>
    <x:row r="151">
      <x:c r="A151" s="46" t="str">
        <x:v>PM-00148</x:v>
      </x:c>
      <x:c r="B151" s="46" t="str">
        <x:v>בדיקת ארון חשמל והידוק ברגים</x:v>
      </x:c>
      <x:c r="C151" s="46" t="str">
        <x:v>בדיקת ארון חשמל והידוק ברגים</x:v>
      </x:c>
      <x:c r="D151" s="46" t="str">
        <x:v>maintenance</x:v>
      </x:c>
      <x:c r="E151" s="46" t="n">
        <x:v>1</x:v>
      </x:c>
      <x:c r="F151" s="46" t="str">
        <x:v>year</x:v>
      </x:c>
      <x:c r="G151" s="46" t="n">
        <x:v>60</x:v>
      </x:c>
      <x:c r="H151" s="46" t="str"/>
      <x:c r="I151" s="47" t="b">
        <x:v>0</x:v>
      </x:c>
      <x:c r="J151" s="46" t="str">
        <x:v>medium</x:v>
      </x:c>
      <x:c r="K151" s="53" t="str"/>
      <x:c r="L151" s="53" t="str"/>
      <x:c r="M151" s="46" t="str"/>
      <x:c r="N151" s="46" t="str"/>
      <x:c r="O151" s="46" t="str"/>
      <x:c r="P151" s="46" t="str">
        <x:v>אחזקה מונעת - בונדר דודים.xlsx</x:v>
      </x:c>
      <x:c r="Q151" s="46" t="str">
        <x:v>מעלית ומסוע עלי</x:v>
      </x:c>
      <x:c r="R151" s="46" t="n">
        <x:v>150</x:v>
      </x:c>
      <x:c r="S151" s="47" t="b">
        <x:v>1</x:v>
      </x:c>
    </x:row>
    <x:row r="152">
      <x:c r="A152" s="46" t="str">
        <x:v>PM-00149</x:v>
      </x:c>
      <x:c r="B152" s="46" t="str">
        <x:v>ניקוי מסוע מגופים זרים</x:v>
      </x:c>
      <x:c r="C152" s="46" t="str">
        <x:v>ניקוי מסוע מגופים זרים</x:v>
      </x:c>
      <x:c r="D152" s="46" t="str">
        <x:v>operator_monitoring</x:v>
      </x:c>
      <x:c r="E152" s="46" t="n">
        <x:v>1</x:v>
      </x:c>
      <x:c r="F152" s="46" t="str">
        <x:v>day</x:v>
      </x:c>
      <x:c r="G152" s="46" t="n">
        <x:v>10</x:v>
      </x:c>
      <x:c r="H152" s="46" t="str"/>
      <x:c r="I152" s="47" t="b">
        <x:v>0</x:v>
      </x:c>
      <x:c r="J152" s="46" t="str">
        <x:v>medium</x:v>
      </x:c>
      <x:c r="K152" s="53" t="str"/>
      <x:c r="L152" s="53" t="str"/>
      <x:c r="M152" s="46" t="str"/>
      <x:c r="N152" s="46" t="str"/>
      <x:c r="O152" s="46" t="str"/>
      <x:c r="P152" s="46" t="str">
        <x:v>אחזקה מונעת - בונדר דודים.xlsx</x:v>
      </x:c>
      <x:c r="Q152" s="46" t="str">
        <x:v>מסוע יציאה גלילי</x:v>
      </x:c>
      <x:c r="R152" s="46" t="n">
        <x:v>151</x:v>
      </x:c>
      <x:c r="S152" s="47" t="b">
        <x:v>1</x:v>
      </x:c>
    </x:row>
    <x:row r="153">
      <x:c r="A153" s="46" t="str">
        <x:v>PM-00150</x:v>
      </x:c>
      <x:c r="B153" s="46" t="str">
        <x:v>בדיקת תקינות ויזואליט בזמן העבודה</x:v>
      </x:c>
      <x:c r="C153" s="46" t="str">
        <x:v>בדיקת תקינות ויזואליט בזמן העבודה</x:v>
      </x:c>
      <x:c r="D153" s="46" t="str">
        <x:v>operator_monitoring</x:v>
      </x:c>
      <x:c r="E153" s="46" t="n">
        <x:v>1</x:v>
      </x:c>
      <x:c r="F153" s="46" t="str">
        <x:v>day</x:v>
      </x:c>
      <x:c r="G153" s="46" t="n">
        <x:v>10</x:v>
      </x:c>
      <x:c r="H153" s="46" t="str"/>
      <x:c r="I153" s="47" t="b">
        <x:v>0</x:v>
      </x:c>
      <x:c r="J153" s="46" t="str">
        <x:v>medium</x:v>
      </x:c>
      <x:c r="K153" s="53" t="str"/>
      <x:c r="L153" s="53" t="str"/>
      <x:c r="M153" s="46" t="str"/>
      <x:c r="N153" s="46" t="str"/>
      <x:c r="O153" s="46" t="str"/>
      <x:c r="P153" s="46" t="str">
        <x:v>אחזקה מונעת - בונדר דודים.xlsx</x:v>
      </x:c>
      <x:c r="Q153" s="46" t="str">
        <x:v>מסוע יציאה גלילי</x:v>
      </x:c>
      <x:c r="R153" s="46" t="n">
        <x:v>152</x:v>
      </x:c>
      <x:c r="S153" s="47" t="b">
        <x:v>1</x:v>
      </x:c>
    </x:row>
    <x:row r="154">
      <x:c r="A154" s="46" t="str">
        <x:v>PM-00151</x:v>
      </x:c>
      <x:c r="B154" s="46" t="str">
        <x:v>בדיקת גלילי מסוע לתקינותם, החלפה/תיקון לפי צורך</x:v>
      </x:c>
      <x:c r="C154" s="46" t="str">
        <x:v>בדיקת גלילי מסוע לתקינותם, החלפה/תיקון לפי צורך</x:v>
      </x:c>
      <x:c r="D154" s="46" t="str">
        <x:v>maintenance</x:v>
      </x:c>
      <x:c r="E154" s="46" t="n">
        <x:v>1</x:v>
      </x:c>
      <x:c r="F154" s="46" t="str">
        <x:v>week</x:v>
      </x:c>
      <x:c r="G154" s="46" t="n">
        <x:v>120</x:v>
      </x:c>
      <x:c r="H154" s="46" t="str"/>
      <x:c r="I154" s="47" t="b">
        <x:v>0</x:v>
      </x:c>
      <x:c r="J154" s="46" t="str">
        <x:v>medium</x:v>
      </x:c>
      <x:c r="K154" s="53" t="str"/>
      <x:c r="L154" s="53" t="str"/>
      <x:c r="M154" s="46" t="str"/>
      <x:c r="N154" s="46" t="str"/>
      <x:c r="O154" s="46" t="str"/>
      <x:c r="P154" s="46" t="str">
        <x:v>אחזקה מונעת - בונדר דודים.xlsx</x:v>
      </x:c>
      <x:c r="Q154" s="46" t="str">
        <x:v>מסוע יציאה גלילי</x:v>
      </x:c>
      <x:c r="R154" s="46" t="n">
        <x:v>153</x:v>
      </x:c>
      <x:c r="S154" s="47" t="b">
        <x:v>1</x:v>
      </x:c>
    </x:row>
    <x:row r="155">
      <x:c r="A155" s="46" t="str">
        <x:v>PM-00152</x:v>
      </x:c>
      <x:c r="B155" s="46" t="str">
        <x:v>גירוז במיסבים</x:v>
      </x:c>
      <x:c r="C155" s="46" t="str">
        <x:v>גירוז במיסבים</x:v>
      </x:c>
      <x:c r="D155" s="46" t="str">
        <x:v>maintenance</x:v>
      </x:c>
      <x:c r="E155" s="46" t="n">
        <x:v>1</x:v>
      </x:c>
      <x:c r="F155" s="46" t="str">
        <x:v>month</x:v>
      </x:c>
      <x:c r="G155" s="46" t="n">
        <x:v>60</x:v>
      </x:c>
      <x:c r="H155" s="46" t="str"/>
      <x:c r="I155" s="47" t="b">
        <x:v>0</x:v>
      </x:c>
      <x:c r="J155" s="46" t="str">
        <x:v>medium</x:v>
      </x:c>
      <x:c r="K155" s="53" t="str"/>
      <x:c r="L155" s="53" t="str"/>
      <x:c r="M155" s="46" t="str"/>
      <x:c r="N155" s="46" t="str">
        <x:v>גריז</x:v>
      </x:c>
      <x:c r="O155" s="46" t="str"/>
      <x:c r="P155" s="46" t="str">
        <x:v>אחזקה מונעת - בונדר דודים.xlsx</x:v>
      </x:c>
      <x:c r="Q155" s="46" t="str">
        <x:v>מסוע יציאה גלילי</x:v>
      </x:c>
      <x:c r="R155" s="46" t="n">
        <x:v>154</x:v>
      </x:c>
      <x:c r="S155" s="47" t="b">
        <x:v>1</x:v>
      </x:c>
    </x:row>
    <x:row r="156">
      <x:c r="A156" s="46" t="str">
        <x:v>PM-00153</x:v>
      </x:c>
      <x:c r="B156" s="46" t="str">
        <x:v>בדיקת תקינות יחידות הנעה</x:v>
      </x:c>
      <x:c r="C156" s="46" t="str">
        <x:v>בדיקת תקינות יחידות הנעה</x:v>
      </x:c>
      <x:c r="D156" s="46" t="str">
        <x:v>maintenance</x:v>
      </x:c>
      <x:c r="E156" s="46" t="n">
        <x:v>1</x:v>
      </x:c>
      <x:c r="F156" s="46" t="str">
        <x:v>month</x:v>
      </x:c>
      <x:c r="G156" s="46" t="n">
        <x:v>60</x:v>
      </x:c>
      <x:c r="H156" s="46" t="str"/>
      <x:c r="I156" s="47" t="b">
        <x:v>0</x:v>
      </x:c>
      <x:c r="J156" s="46" t="str">
        <x:v>medium</x:v>
      </x:c>
      <x:c r="K156" s="53" t="str"/>
      <x:c r="L156" s="53" t="str"/>
      <x:c r="M156" s="46" t="str"/>
      <x:c r="N156" s="46" t="str"/>
      <x:c r="O156" s="46" t="str"/>
      <x:c r="P156" s="46" t="str">
        <x:v>אחזקה מונעת - בונדר דודים.xlsx</x:v>
      </x:c>
      <x:c r="Q156" s="46" t="str">
        <x:v>מסוע יציאה גלילי</x:v>
      </x:c>
      <x:c r="R156" s="46" t="n">
        <x:v>155</x:v>
      </x:c>
      <x:c r="S156" s="47" t="b">
        <x:v>1</x:v>
      </x:c>
    </x:row>
    <x:row r="157">
      <x:c r="A157" s="46" t="str">
        <x:v>PM-00154</x:v>
      </x:c>
      <x:c r="B157" s="46" t="str">
        <x:v>שימון שרשרות הנעה</x:v>
      </x:c>
      <x:c r="C157" s="46" t="str">
        <x:v>שימון שרשרות הנעה</x:v>
      </x:c>
      <x:c r="D157" s="46" t="str">
        <x:v>maintenance</x:v>
      </x:c>
      <x:c r="E157" s="46" t="n">
        <x:v>1</x:v>
      </x:c>
      <x:c r="F157" s="46" t="str">
        <x:v>month</x:v>
      </x:c>
      <x:c r="G157" s="46" t="n">
        <x:v>60</x:v>
      </x:c>
      <x:c r="H157" s="46" t="str"/>
      <x:c r="I157" s="47" t="b">
        <x:v>0</x:v>
      </x:c>
      <x:c r="J157" s="46" t="str">
        <x:v>medium</x:v>
      </x:c>
      <x:c r="K157" s="53" t="str"/>
      <x:c r="L157" s="53" t="str"/>
      <x:c r="M157" s="46" t="str"/>
      <x:c r="N157" s="46" t="str">
        <x:v>שמן</x:v>
      </x:c>
      <x:c r="O157" s="46" t="str"/>
      <x:c r="P157" s="46" t="str">
        <x:v>אחזקה מונעת - בונדר דודים.xlsx</x:v>
      </x:c>
      <x:c r="Q157" s="46" t="str">
        <x:v>מסוע יציאה גלילי</x:v>
      </x:c>
      <x:c r="R157" s="46" t="n">
        <x:v>156</x:v>
      </x:c>
      <x:c r="S157" s="47" t="b">
        <x:v>1</x:v>
      </x:c>
    </x:row>
    <x:row r="158">
      <x:c r="A158" s="46" t="str">
        <x:v>PM-00155</x:v>
      </x:c>
      <x:c r="B158" s="46" t="str">
        <x:v>החלפת מיסבים ושרשרות לפי הצורך</x:v>
      </x:c>
      <x:c r="C158" s="46" t="str">
        <x:v>החלפת מיסבים ושרשרות לפי הצורך</x:v>
      </x:c>
      <x:c r="D158" s="46" t="str">
        <x:v>maintenance</x:v>
      </x:c>
      <x:c r="E158" s="46" t="n">
        <x:v>1</x:v>
      </x:c>
      <x:c r="F158" s="46" t="str">
        <x:v>year</x:v>
      </x:c>
      <x:c r="G158" s="46" t="n">
        <x:v>360</x:v>
      </x:c>
      <x:c r="H158" s="46" t="str"/>
      <x:c r="I158" s="47" t="b">
        <x:v>0</x:v>
      </x:c>
      <x:c r="J158" s="46" t="str">
        <x:v>medium</x:v>
      </x:c>
      <x:c r="K158" s="53" t="str"/>
      <x:c r="L158" s="53" t="str"/>
      <x:c r="M158" s="46" t="str"/>
      <x:c r="N158" s="46" t="str">
        <x:v>מיסבים, שרשרת</x:v>
      </x:c>
      <x:c r="O158" s="46" t="str">
        <x:v>יש צורך להזמין מיסבים ושרשרות מראש</x:v>
      </x:c>
      <x:c r="P158" s="46" t="str">
        <x:v>אחזקה מונעת - בונדר דודים.xlsx</x:v>
      </x:c>
      <x:c r="Q158" s="46" t="str">
        <x:v>מסוע יציאה גלילי</x:v>
      </x:c>
      <x:c r="R158" s="46" t="n">
        <x:v>157</x:v>
      </x:c>
      <x:c r="S158" s="47" t="b">
        <x:v>1</x:v>
      </x:c>
    </x:row>
    <x:row r="159">
      <x:c r="A159" s="46" t="str">
        <x:v>PM-00156</x:v>
      </x:c>
      <x:c r="B159" s="46" t="str">
        <x:v>בדיקת אביזרי חשמל לתקינות (כולל כבלים גששים ומחברים)</x:v>
      </x:c>
      <x:c r="C159" s="46" t="str">
        <x:v>בדיקת אביזרי חשמל לתקינות (כולל כבלים גששים ומחברים)</x:v>
      </x:c>
      <x:c r="D159" s="46" t="str">
        <x:v>maintenance</x:v>
      </x:c>
      <x:c r="E159" s="46" t="n">
        <x:v>1</x:v>
      </x:c>
      <x:c r="F159" s="46" t="str">
        <x:v>month</x:v>
      </x:c>
      <x:c r="G159" s="46" t="n">
        <x:v>15</x:v>
      </x:c>
      <x:c r="H159" s="46" t="str"/>
      <x:c r="I159" s="47" t="b">
        <x:v>0</x:v>
      </x:c>
      <x:c r="J159" s="46" t="str">
        <x:v>medium</x:v>
      </x:c>
      <x:c r="K159" s="53" t="str"/>
      <x:c r="L159" s="53" t="str"/>
      <x:c r="M159" s="46" t="str"/>
      <x:c r="N159" s="46" t="str"/>
      <x:c r="O159" s="46" t="str"/>
      <x:c r="P159" s="46" t="str">
        <x:v>אחזקה מונעת - בונדר דודים.xlsx</x:v>
      </x:c>
      <x:c r="Q159" s="46" t="str">
        <x:v>מסוע יציאה גלילי</x:v>
      </x:c>
      <x:c r="R159" s="46" t="n">
        <x:v>158</x:v>
      </x:c>
      <x:c r="S159" s="47" t="b">
        <x:v>1</x:v>
      </x:c>
    </x:row>
    <x:row r="160">
      <x:c r="A160" s="46" t="str">
        <x:v>PM-00157</x:v>
      </x:c>
      <x:c r="B160" s="46" t="str">
        <x:v>ניקוי ארון חשמל ע"י אויר</x:v>
      </x:c>
      <x:c r="C160" s="46" t="str">
        <x:v>ניקוי ארון חשמל ע"י אויר</x:v>
      </x:c>
      <x:c r="D160" s="46" t="str">
        <x:v>maintenance</x:v>
      </x:c>
      <x:c r="E160" s="46" t="n">
        <x:v>1</x:v>
      </x:c>
      <x:c r="F160" s="46" t="str">
        <x:v>year</x:v>
      </x:c>
      <x:c r="G160" s="46" t="n">
        <x:v>20</x:v>
      </x:c>
      <x:c r="H160" s="46" t="str"/>
      <x:c r="I160" s="47" t="b">
        <x:v>0</x:v>
      </x:c>
      <x:c r="J160" s="46" t="str">
        <x:v>medium</x:v>
      </x:c>
      <x:c r="K160" s="53" t="str"/>
      <x:c r="L160" s="53" t="str"/>
      <x:c r="M160" s="46" t="str"/>
      <x:c r="N160" s="46" t="str"/>
      <x:c r="O160" s="46" t="str"/>
      <x:c r="P160" s="46" t="str">
        <x:v>אחזקה מונעת - בונדר דודים.xlsx</x:v>
      </x:c>
      <x:c r="Q160" s="46" t="str">
        <x:v>מסוע יציאה גלילי</x:v>
      </x:c>
      <x:c r="R160" s="46" t="n">
        <x:v>159</x:v>
      </x:c>
      <x:c r="S160" s="47" t="b">
        <x:v>1</x:v>
      </x:c>
    </x:row>
    <x:row r="161">
      <x:c r="A161" s="46" t="str">
        <x:v>PM-00158</x:v>
      </x:c>
      <x:c r="B161" s="46" t="str">
        <x:v>בדיקת ארון חשמל והידוק ברגים</x:v>
      </x:c>
      <x:c r="C161" s="46" t="str">
        <x:v>בדיקת ארון חשמל והידוק ברגים</x:v>
      </x:c>
      <x:c r="D161" s="46" t="str">
        <x:v>maintenance</x:v>
      </x:c>
      <x:c r="E161" s="46" t="n">
        <x:v>1</x:v>
      </x:c>
      <x:c r="F161" s="46" t="str">
        <x:v>year</x:v>
      </x:c>
      <x:c r="G161" s="46" t="n">
        <x:v>30</x:v>
      </x:c>
      <x:c r="H161" s="46" t="str"/>
      <x:c r="I161" s="47" t="b">
        <x:v>0</x:v>
      </x:c>
      <x:c r="J161" s="46" t="str">
        <x:v>medium</x:v>
      </x:c>
      <x:c r="K161" s="53" t="str"/>
      <x:c r="L161" s="53" t="str"/>
      <x:c r="M161" s="46" t="str"/>
      <x:c r="N161" s="46" t="str"/>
      <x:c r="O161" s="46" t="str"/>
      <x:c r="P161" s="46" t="str">
        <x:v>אחזקה מונעת - בונדר דודים.xlsx</x:v>
      </x:c>
      <x:c r="Q161" s="46" t="str">
        <x:v>מסוע יציאה גלילי</x:v>
      </x:c>
      <x:c r="R161" s="46" t="n">
        <x:v>160</x:v>
      </x:c>
      <x:c r="S161" s="47" t="b">
        <x:v>1</x:v>
      </x:c>
    </x:row>
    <x:row r="162">
      <x:c r="A162" s="46" t="str">
        <x:v>PM-00159</x:v>
      </x:c>
      <x:c r="B162" s="46" t="str">
        <x:v>ניקוי מכונה</x:v>
      </x:c>
      <x:c r="C162" s="46" t="str">
        <x:v>ניקוי מכונה</x:v>
      </x:c>
      <x:c r="D162" s="46" t="str">
        <x:v>operator_monitoring</x:v>
      </x:c>
      <x:c r="E162" s="46" t="n">
        <x:v>1</x:v>
      </x:c>
      <x:c r="F162" s="46" t="str">
        <x:v>day</x:v>
      </x:c>
      <x:c r="G162" s="46" t="n">
        <x:v>20</x:v>
      </x:c>
      <x:c r="H162" s="46" t="str"/>
      <x:c r="I162" s="47" t="b">
        <x:v>0</x:v>
      </x:c>
      <x:c r="J162" s="46" t="str">
        <x:v>medium</x:v>
      </x:c>
      <x:c r="K162" s="53" t="str"/>
      <x:c r="L162" s="53" t="str"/>
      <x:c r="M162" s="46" t="str"/>
      <x:c r="N162" s="46" t="str"/>
      <x:c r="O162" s="46" t="str"/>
      <x:c r="P162" s="46" t="str">
        <x:v>אחזקה מונעת - עטיפות.xlsx</x:v>
      </x:c>
      <x:c r="Q162" s="46" t="str">
        <x:v>מערגלת</x:v>
      </x:c>
      <x:c r="R162" s="46" t="n">
        <x:v>161</x:v>
      </x:c>
      <x:c r="S162" s="47" t="b">
        <x:v>1</x:v>
      </x:c>
    </x:row>
    <x:row r="163">
      <x:c r="A163" s="46" t="str">
        <x:v>PM-00160</x:v>
      </x:c>
      <x:c r="B163" s="46" t="str">
        <x:v>בדיקת תקינות כבל בטיחות</x:v>
      </x:c>
      <x:c r="C163" s="46" t="str">
        <x:v>בדיקת תקינות כבל בטיחות</x:v>
      </x:c>
      <x:c r="D163" s="46" t="str">
        <x:v>operator_monitoring</x:v>
      </x:c>
      <x:c r="E163" s="46" t="n">
        <x:v>1</x:v>
      </x:c>
      <x:c r="F163" s="46" t="str">
        <x:v>week</x:v>
      </x:c>
      <x:c r="G163" s="46" t="n">
        <x:v>5</x:v>
      </x:c>
      <x:c r="H163" s="46" t="str"/>
      <x:c r="I163" s="47" t="b">
        <x:v>0</x:v>
      </x:c>
      <x:c r="J163" s="46" t="str">
        <x:v>medium</x:v>
      </x:c>
      <x:c r="K163" s="53" t="str"/>
      <x:c r="L163" s="53" t="str"/>
      <x:c r="M163" s="46" t="str"/>
      <x:c r="N163" s="46" t="str"/>
      <x:c r="O163" s="46" t="str"/>
      <x:c r="P163" s="46" t="str">
        <x:v>אחזקה מונעת - עטיפות.xlsx</x:v>
      </x:c>
      <x:c r="Q163" s="46" t="str">
        <x:v>מערגלת</x:v>
      </x:c>
      <x:c r="R163" s="46" t="n">
        <x:v>162</x:v>
      </x:c>
      <x:c r="S163" s="47" t="b">
        <x:v>1</x:v>
      </x:c>
    </x:row>
    <x:row r="164">
      <x:c r="A164" s="46" t="str">
        <x:v>PM-00161</x:v>
      </x:c>
      <x:c r="B164" s="46" t="str">
        <x:v>בדיקה לרעשים חריגים</x:v>
      </x:c>
      <x:c r="C164" s="46" t="str">
        <x:v>בדיקה לרעשים חריגים</x:v>
      </x:c>
      <x:c r="D164" s="46" t="str">
        <x:v>operator_monitoring</x:v>
      </x:c>
      <x:c r="E164" s="46" t="n">
        <x:v>1</x:v>
      </x:c>
      <x:c r="F164" s="46" t="str">
        <x:v>week</x:v>
      </x:c>
      <x:c r="G164" s="46" t="n">
        <x:v>5</x:v>
      </x:c>
      <x:c r="H164" s="46" t="str"/>
      <x:c r="I164" s="47" t="b">
        <x:v>0</x:v>
      </x:c>
      <x:c r="J164" s="46" t="str">
        <x:v>medium</x:v>
      </x:c>
      <x:c r="K164" s="53" t="str"/>
      <x:c r="L164" s="53" t="str"/>
      <x:c r="M164" s="46" t="str"/>
      <x:c r="N164" s="46" t="str"/>
      <x:c r="O164" s="46" t="str"/>
      <x:c r="P164" s="46" t="str">
        <x:v>אחזקה מונעת - עטיפות.xlsx</x:v>
      </x:c>
      <x:c r="Q164" s="46" t="str">
        <x:v>מערגלת</x:v>
      </x:c>
      <x:c r="R164" s="46" t="n">
        <x:v>163</x:v>
      </x:c>
      <x:c r="S164" s="47" t="b">
        <x:v>1</x:v>
      </x:c>
    </x:row>
    <x:row r="165">
      <x:c r="A165" s="46" t="str">
        <x:v>PM-00162</x:v>
      </x:c>
      <x:c r="B165" s="46" t="str">
        <x:v>בדיקת תקינות יחידת תמסורת</x:v>
      </x:c>
      <x:c r="C165" s="46" t="str">
        <x:v>בדיקת תקינות יחידת תמסורת</x:v>
      </x:c>
      <x:c r="D165" s="46" t="str">
        <x:v>maintenance</x:v>
      </x:c>
      <x:c r="E165" s="46" t="n">
        <x:v>1</x:v>
      </x:c>
      <x:c r="F165" s="46" t="str">
        <x:v>month</x:v>
      </x:c>
      <x:c r="G165" s="46" t="n">
        <x:v>20</x:v>
      </x:c>
      <x:c r="H165" s="46" t="str"/>
      <x:c r="I165" s="47" t="b">
        <x:v>0</x:v>
      </x:c>
      <x:c r="J165" s="46" t="str">
        <x:v>medium</x:v>
      </x:c>
      <x:c r="K165" s="53" t="str"/>
      <x:c r="L165" s="53" t="str"/>
      <x:c r="M165" s="46" t="str"/>
      <x:c r="N165" s="46" t="str"/>
      <x:c r="O165" s="46" t="str"/>
      <x:c r="P165" s="46" t="str">
        <x:v>אחזקה מונעת - עטיפות.xlsx</x:v>
      </x:c>
      <x:c r="Q165" s="46" t="str">
        <x:v>מערגלת</x:v>
      </x:c>
      <x:c r="R165" s="46" t="n">
        <x:v>164</x:v>
      </x:c>
      <x:c r="S165" s="47" t="b">
        <x:v>1</x:v>
      </x:c>
    </x:row>
    <x:row r="166">
      <x:c r="A166" s="46" t="str">
        <x:v>PM-00163</x:v>
      </x:c>
      <x:c r="B166" s="46" t="str">
        <x:v>שימון וגירוז מיסבים וגג"שים</x:v>
      </x:c>
      <x:c r="C166" s="46" t="str">
        <x:v>שימון וגירוז מיסבים וגג"שים</x:v>
      </x:c>
      <x:c r="D166" s="46" t="str">
        <x:v>maintenance</x:v>
      </x:c>
      <x:c r="E166" s="46" t="n">
        <x:v>1</x:v>
      </x:c>
      <x:c r="F166" s="46" t="str">
        <x:v>month</x:v>
      </x:c>
      <x:c r="G166" s="46" t="n">
        <x:v>20</x:v>
      </x:c>
      <x:c r="H166" s="46" t="str"/>
      <x:c r="I166" s="47" t="b">
        <x:v>0</x:v>
      </x:c>
      <x:c r="J166" s="46" t="str">
        <x:v>medium</x:v>
      </x:c>
      <x:c r="K166" s="53" t="str"/>
      <x:c r="L166" s="53" t="str"/>
      <x:c r="M166" s="46" t="str"/>
      <x:c r="N166" s="46" t="str"/>
      <x:c r="O166" s="46" t="str"/>
      <x:c r="P166" s="46" t="str">
        <x:v>אחזקה מונעת - עטיפות.xlsx</x:v>
      </x:c>
      <x:c r="Q166" s="46" t="str">
        <x:v>מערגלת</x:v>
      </x:c>
      <x:c r="R166" s="46" t="n">
        <x:v>165</x:v>
      </x:c>
      <x:c r="S166" s="47" t="b">
        <x:v>1</x:v>
      </x:c>
    </x:row>
    <x:row r="167">
      <x:c r="A167" s="46" t="str">
        <x:v>PM-00164</x:v>
      </x:c>
      <x:c r="B167" s="46" t="str">
        <x:v>בדיקת שמן בגיר</x:v>
      </x:c>
      <x:c r="C167" s="46" t="str">
        <x:v>בדיקת שמן בגיר</x:v>
      </x:c>
      <x:c r="D167" s="46" t="str">
        <x:v>maintenance</x:v>
      </x:c>
      <x:c r="E167" s="46" t="n">
        <x:v>1</x:v>
      </x:c>
      <x:c r="F167" s="46" t="str">
        <x:v>half_year</x:v>
      </x:c>
      <x:c r="G167" s="46" t="n">
        <x:v>15</x:v>
      </x:c>
      <x:c r="H167" s="46" t="str"/>
      <x:c r="I167" s="47" t="b">
        <x:v>0</x:v>
      </x:c>
      <x:c r="J167" s="46" t="str">
        <x:v>medium</x:v>
      </x:c>
      <x:c r="K167" s="53" t="str"/>
      <x:c r="L167" s="53" t="str"/>
      <x:c r="M167" s="46" t="str"/>
      <x:c r="N167" s="46" t="str"/>
      <x:c r="O167" s="46" t="str"/>
      <x:c r="P167" s="46" t="str">
        <x:v>אחזקה מונעת - עטיפות.xlsx</x:v>
      </x:c>
      <x:c r="Q167" s="46" t="str">
        <x:v>מערגלת</x:v>
      </x:c>
      <x:c r="R167" s="46" t="n">
        <x:v>166</x:v>
      </x:c>
      <x:c r="S167" s="47" t="b">
        <x:v>1</x:v>
      </x:c>
    </x:row>
    <x:row r="168">
      <x:c r="A168" s="46" t="str">
        <x:v>PM-00165</x:v>
      </x:c>
      <x:c r="B168" s="46" t="str">
        <x:v>פירוק מכסה צד ובדיקת תמסורת</x:v>
      </x:c>
      <x:c r="C168" s="46" t="str">
        <x:v>פירוק מכסה צד ובדיקת תמסורת</x:v>
      </x:c>
      <x:c r="D168" s="46" t="str">
        <x:v>maintenance</x:v>
      </x:c>
      <x:c r="E168" s="46" t="n">
        <x:v>1</x:v>
      </x:c>
      <x:c r="F168" s="46" t="str">
        <x:v>half_year</x:v>
      </x:c>
      <x:c r="G168" s="46" t="n">
        <x:v>30</x:v>
      </x:c>
      <x:c r="H168" s="46" t="str"/>
      <x:c r="I168" s="47" t="b">
        <x:v>0</x:v>
      </x:c>
      <x:c r="J168" s="46" t="str">
        <x:v>medium</x:v>
      </x:c>
      <x:c r="K168" s="53" t="str"/>
      <x:c r="L168" s="53" t="str"/>
      <x:c r="M168" s="46" t="str"/>
      <x:c r="N168" s="46" t="str"/>
      <x:c r="O168" s="46" t="str"/>
      <x:c r="P168" s="46" t="str">
        <x:v>אחזקה מונעת - עטיפות.xlsx</x:v>
      </x:c>
      <x:c r="Q168" s="46" t="str">
        <x:v>מערגלת</x:v>
      </x:c>
      <x:c r="R168" s="46" t="n">
        <x:v>167</x:v>
      </x:c>
      <x:c r="S168" s="47" t="b">
        <x:v>1</x:v>
      </x:c>
    </x:row>
    <x:row r="169">
      <x:c r="A169" s="46" t="str">
        <x:v>PM-00166</x:v>
      </x:c>
      <x:c r="B169" s="46" t="str">
        <x:v>בדיקת אביזרי חשמל לתקינות (כולל כבלים ומחברים)</x:v>
      </x:c>
      <x:c r="C169" s="46" t="str">
        <x:v>בדיקת אביזרי חשמל לתקינות (כולל כבלים ומחברים)</x:v>
      </x:c>
      <x:c r="D169" s="46" t="str">
        <x:v>maintenance</x:v>
      </x:c>
      <x:c r="E169" s="46" t="n">
        <x:v>1</x:v>
      </x:c>
      <x:c r="F169" s="46" t="str">
        <x:v>month</x:v>
      </x:c>
      <x:c r="G169" s="46" t="n">
        <x:v>20</x:v>
      </x:c>
      <x:c r="H169" s="46" t="str"/>
      <x:c r="I169" s="47" t="b">
        <x:v>0</x:v>
      </x:c>
      <x:c r="J169" s="46" t="str">
        <x:v>medium</x:v>
      </x:c>
      <x:c r="K169" s="53" t="str"/>
      <x:c r="L169" s="53" t="str"/>
      <x:c r="M169" s="46" t="str"/>
      <x:c r="N169" s="46" t="str"/>
      <x:c r="O169" s="46" t="str"/>
      <x:c r="P169" s="46" t="str">
        <x:v>אחזקה מונעת - עטיפות.xlsx</x:v>
      </x:c>
      <x:c r="Q169" s="46" t="str">
        <x:v>מערגלת</x:v>
      </x:c>
      <x:c r="R169" s="46" t="n">
        <x:v>168</x:v>
      </x:c>
      <x:c r="S169" s="47" t="b">
        <x:v>1</x:v>
      </x:c>
    </x:row>
    <x:row r="170">
      <x:c r="A170" s="46" t="str">
        <x:v>PM-00167</x:v>
      </x:c>
      <x:c r="B170" s="46" t="str">
        <x:v>בדיקה וניקוי ארון חשמל ע"י אויר</x:v>
      </x:c>
      <x:c r="C170" s="46" t="str">
        <x:v>בדיקה וניקוי ארון חשמל ע"י אויר</x:v>
      </x:c>
      <x:c r="D170" s="46" t="str">
        <x:v>maintenance</x:v>
      </x:c>
      <x:c r="E170" s="46" t="n">
        <x:v>1</x:v>
      </x:c>
      <x:c r="F170" s="46" t="str">
        <x:v>month</x:v>
      </x:c>
      <x:c r="G170" s="46" t="n">
        <x:v>20</x:v>
      </x:c>
      <x:c r="H170" s="46" t="str"/>
      <x:c r="I170" s="47" t="b">
        <x:v>0</x:v>
      </x:c>
      <x:c r="J170" s="46" t="str">
        <x:v>medium</x:v>
      </x:c>
      <x:c r="K170" s="53" t="str"/>
      <x:c r="L170" s="53" t="str"/>
      <x:c r="M170" s="46" t="str"/>
      <x:c r="N170" s="46" t="str"/>
      <x:c r="O170" s="46" t="str"/>
      <x:c r="P170" s="46" t="str">
        <x:v>אחזקה מונעת - עטיפות.xlsx</x:v>
      </x:c>
      <x:c r="Q170" s="46" t="str">
        <x:v>מערגלת</x:v>
      </x:c>
      <x:c r="R170" s="46" t="n">
        <x:v>169</x:v>
      </x:c>
      <x:c r="S170" s="47" t="b">
        <x:v>1</x:v>
      </x:c>
    </x:row>
    <x:row r="171">
      <x:c r="A171" s="46" t="str">
        <x:v>PM-00168</x:v>
      </x:c>
      <x:c r="B171" s="46" t="str">
        <x:v>ניקוי מכונה</x:v>
      </x:c>
      <x:c r="C171" s="46" t="str">
        <x:v>ניקוי מכונה</x:v>
      </x:c>
      <x:c r="D171" s="46" t="str">
        <x:v>operator_monitoring</x:v>
      </x:c>
      <x:c r="E171" s="46" t="n">
        <x:v>1</x:v>
      </x:c>
      <x:c r="F171" s="46" t="str">
        <x:v>day</x:v>
      </x:c>
      <x:c r="G171" s="46" t="n">
        <x:v>10</x:v>
      </x:c>
      <x:c r="H171" s="46" t="str"/>
      <x:c r="I171" s="47" t="b">
        <x:v>0</x:v>
      </x:c>
      <x:c r="J171" s="46" t="str">
        <x:v>medium</x:v>
      </x:c>
      <x:c r="K171" s="53" t="str"/>
      <x:c r="L171" s="53" t="str"/>
      <x:c r="M171" s="46" t="str"/>
      <x:c r="N171" s="46" t="str"/>
      <x:c r="O171" s="46" t="str"/>
      <x:c r="P171" s="46" t="str">
        <x:v>אחזקה מונעת - עטיפות.xlsx</x:v>
      </x:c>
      <x:c r="Q171" s="46" t="str">
        <x:v>מכונת קלינצינג</x:v>
      </x:c>
      <x:c r="R171" s="46" t="n">
        <x:v>170</x:v>
      </x:c>
      <x:c r="S171" s="47" t="b">
        <x:v>1</x:v>
      </x:c>
    </x:row>
    <x:row r="172">
      <x:c r="A172" s="46" t="str">
        <x:v>PM-00169</x:v>
      </x:c>
      <x:c r="B172" s="46" t="str">
        <x:v>לנקות את הסדן (מטריצה) בעזרת סקוצ' ולשמן</x:v>
      </x:c>
      <x:c r="C172" s="46" t="str">
        <x:v>לנקות את הסדן (מטריצה) בעזרת סקוצ' ולשמן</x:v>
      </x:c>
      <x:c r="D172" s="46" t="str">
        <x:v>operator_monitoring</x:v>
      </x:c>
      <x:c r="E172" s="46" t="n">
        <x:v>1</x:v>
      </x:c>
      <x:c r="F172" s="46" t="str">
        <x:v>day</x:v>
      </x:c>
      <x:c r="G172" s="46" t="n">
        <x:v>5</x:v>
      </x:c>
      <x:c r="H172" s="46" t="str"/>
      <x:c r="I172" s="47" t="b">
        <x:v>0</x:v>
      </x:c>
      <x:c r="J172" s="46" t="str">
        <x:v>medium</x:v>
      </x:c>
      <x:c r="K172" s="53" t="str"/>
      <x:c r="L172" s="53" t="str"/>
      <x:c r="M172" s="46" t="str"/>
      <x:c r="N172" s="46" t="str"/>
      <x:c r="O172" s="46" t="str"/>
      <x:c r="P172" s="46" t="str">
        <x:v>אחזקה מונעת - עטיפות.xlsx</x:v>
      </x:c>
      <x:c r="Q172" s="46" t="str">
        <x:v>מכונת קלינצינג</x:v>
      </x:c>
      <x:c r="R172" s="46" t="n">
        <x:v>171</x:v>
      </x:c>
      <x:c r="S172" s="47" t="b">
        <x:v>1</x:v>
      </x:c>
    </x:row>
    <x:row r="173">
      <x:c r="A173" s="46" t="str">
        <x:v>PM-00170</x:v>
      </x:c>
      <x:c r="B173" s="46" t="str">
        <x:v>לנקות את המנקב בעזרת סקוצ'</x:v>
      </x:c>
      <x:c r="C173" s="46" t="str">
        <x:v>לנקות את המנקב בעזרת סקוצ'</x:v>
      </x:c>
      <x:c r="D173" s="46" t="str">
        <x:v>operator_monitoring</x:v>
      </x:c>
      <x:c r="E173" s="46" t="n">
        <x:v>1</x:v>
      </x:c>
      <x:c r="F173" s="46" t="str">
        <x:v>day</x:v>
      </x:c>
      <x:c r="G173" s="46" t="n">
        <x:v>5</x:v>
      </x:c>
      <x:c r="H173" s="46" t="str"/>
      <x:c r="I173" s="47" t="b">
        <x:v>0</x:v>
      </x:c>
      <x:c r="J173" s="46" t="str">
        <x:v>medium</x:v>
      </x:c>
      <x:c r="K173" s="53" t="str"/>
      <x:c r="L173" s="53" t="str"/>
      <x:c r="M173" s="46" t="str"/>
      <x:c r="N173" s="46" t="str"/>
      <x:c r="O173" s="46" t="str"/>
      <x:c r="P173" s="46" t="str">
        <x:v>אחזקה מונעת - עטיפות.xlsx</x:v>
      </x:c>
      <x:c r="Q173" s="46" t="str">
        <x:v>מכונת קלינצינג</x:v>
      </x:c>
      <x:c r="R173" s="46" t="n">
        <x:v>172</x:v>
      </x:c>
      <x:c r="S173" s="47" t="b">
        <x:v>1</x:v>
      </x:c>
    </x:row>
    <x:row r="174">
      <x:c r="A174" s="46" t="str">
        <x:v>PM-00171</x:v>
      </x:c>
      <x:c r="B174" s="46" t="str">
        <x:v>לנקות משיריות פח ולשמן את הסדן (מטריצה)</x:v>
      </x:c>
      <x:c r="C174" s="46" t="str">
        <x:v>לנקות משיריות פח ולשמן את הסדן (מטריצה)</x:v>
      </x:c>
      <x:c r="D174" s="46" t="str">
        <x:v>operator_monitoring</x:v>
      </x:c>
      <x:c r="E174" s="46" t="n">
        <x:v>1</x:v>
      </x:c>
      <x:c r="F174" s="46" t="str">
        <x:v>week</x:v>
      </x:c>
      <x:c r="G174" s="46" t="n">
        <x:v>5</x:v>
      </x:c>
      <x:c r="H174" s="46" t="str"/>
      <x:c r="I174" s="47" t="b">
        <x:v>0</x:v>
      </x:c>
      <x:c r="J174" s="46" t="str">
        <x:v>medium</x:v>
      </x:c>
      <x:c r="K174" s="53" t="str"/>
      <x:c r="L174" s="53" t="str"/>
      <x:c r="M174" s="46" t="str"/>
      <x:c r="N174" s="46" t="str"/>
      <x:c r="O174" s="46" t="str"/>
      <x:c r="P174" s="46" t="str">
        <x:v>אחזקה מונעת - עטיפות.xlsx</x:v>
      </x:c>
      <x:c r="Q174" s="46" t="str">
        <x:v>מכונת קלינצינג</x:v>
      </x:c>
      <x:c r="R174" s="46" t="n">
        <x:v>173</x:v>
      </x:c>
      <x:c r="S174" s="47" t="b">
        <x:v>1</x:v>
      </x:c>
    </x:row>
    <x:row r="175">
      <x:c r="A175" s="46" t="str">
        <x:v>PM-00172</x:v>
      </x:c>
      <x:c r="B175" s="46" t="str">
        <x:v>לנקות את המנקב באויר משיריות פח</x:v>
      </x:c>
      <x:c r="C175" s="46" t="str">
        <x:v>לנקות את המנקב באויר משיריות פח</x:v>
      </x:c>
      <x:c r="D175" s="46" t="str">
        <x:v>operator_monitoring</x:v>
      </x:c>
      <x:c r="E175" s="46" t="n">
        <x:v>1</x:v>
      </x:c>
      <x:c r="F175" s="46" t="str">
        <x:v>week</x:v>
      </x:c>
      <x:c r="G175" s="46" t="n">
        <x:v>5</x:v>
      </x:c>
      <x:c r="H175" s="46" t="str"/>
      <x:c r="I175" s="47" t="b">
        <x:v>0</x:v>
      </x:c>
      <x:c r="J175" s="46" t="str">
        <x:v>medium</x:v>
      </x:c>
      <x:c r="K175" s="53" t="str"/>
      <x:c r="L175" s="53" t="str"/>
      <x:c r="M175" s="46" t="str"/>
      <x:c r="N175" s="46" t="str"/>
      <x:c r="O175" s="46" t="str"/>
      <x:c r="P175" s="46" t="str">
        <x:v>אחזקה מונעת - עטיפות.xlsx</x:v>
      </x:c>
      <x:c r="Q175" s="46" t="str">
        <x:v>מכונת קלינצינג</x:v>
      </x:c>
      <x:c r="R175" s="46" t="n">
        <x:v>174</x:v>
      </x:c>
      <x:c r="S175" s="47" t="b">
        <x:v>1</x:v>
      </x:c>
    </x:row>
    <x:row r="176">
      <x:c r="A176" s="46" t="str">
        <x:v>PM-00173</x:v>
      </x:c>
      <x:c r="B176" s="46" t="str">
        <x:v>בדיקת גרמושקות יניקה לתקינות</x:v>
      </x:c>
      <x:c r="C176" s="46" t="str">
        <x:v>בדיקת גרמושקות יניקה לתקינות</x:v>
      </x:c>
      <x:c r="D176" s="46" t="str">
        <x:v>operator_monitoring</x:v>
      </x:c>
      <x:c r="E176" s="46" t="n">
        <x:v>1</x:v>
      </x:c>
      <x:c r="F176" s="46" t="str">
        <x:v>week</x:v>
      </x:c>
      <x:c r="G176" s="46" t="n">
        <x:v>15</x:v>
      </x:c>
      <x:c r="H176" s="46" t="str"/>
      <x:c r="I176" s="47" t="b">
        <x:v>0</x:v>
      </x:c>
      <x:c r="J176" s="46" t="str">
        <x:v>medium</x:v>
      </x:c>
      <x:c r="K176" s="53" t="str"/>
      <x:c r="L176" s="53" t="str"/>
      <x:c r="M176" s="46" t="str"/>
      <x:c r="N176" s="46" t="str"/>
      <x:c r="O176" s="46" t="str"/>
      <x:c r="P176" s="46" t="str">
        <x:v>אחזקה מונעת - עטיפות.xlsx</x:v>
      </x:c>
      <x:c r="Q176" s="46" t="str">
        <x:v>מכונת קלינצינג</x:v>
      </x:c>
      <x:c r="R176" s="46" t="n">
        <x:v>175</x:v>
      </x:c>
      <x:c r="S176" s="47" t="b">
        <x:v>1</x:v>
      </x:c>
    </x:row>
    <x:row r="177">
      <x:c r="A177" s="46" t="str">
        <x:v>PM-00174</x:v>
      </x:c>
      <x:c r="B177" s="46" t="str">
        <x:v>בדיקת תקינות עגלה נעה</x:v>
      </x:c>
      <x:c r="C177" s="46" t="str">
        <x:v>בדיקת תקינות עגלה נעה</x:v>
      </x:c>
      <x:c r="D177" s="46" t="str">
        <x:v>operator_monitoring</x:v>
      </x:c>
      <x:c r="E177" s="46" t="n">
        <x:v>1</x:v>
      </x:c>
      <x:c r="F177" s="46" t="str">
        <x:v>week</x:v>
      </x:c>
      <x:c r="G177" s="46" t="n">
        <x:v>10</x:v>
      </x:c>
      <x:c r="H177" s="46" t="str"/>
      <x:c r="I177" s="47" t="b">
        <x:v>0</x:v>
      </x:c>
      <x:c r="J177" s="46" t="str">
        <x:v>medium</x:v>
      </x:c>
      <x:c r="K177" s="53" t="str"/>
      <x:c r="L177" s="53" t="str"/>
      <x:c r="M177" s="46" t="str"/>
      <x:c r="N177" s="46" t="str"/>
      <x:c r="O177" s="46" t="str"/>
      <x:c r="P177" s="46" t="str">
        <x:v>אחזקה מונעת - עטיפות.xlsx</x:v>
      </x:c>
      <x:c r="Q177" s="46" t="str">
        <x:v>מכונת קלינצינג</x:v>
      </x:c>
      <x:c r="R177" s="46" t="n">
        <x:v>176</x:v>
      </x:c>
      <x:c r="S177" s="47" t="b">
        <x:v>1</x:v>
      </x:c>
    </x:row>
    <x:row r="178">
      <x:c r="A178" s="46" t="str">
        <x:v>PM-00175</x:v>
      </x:c>
      <x:c r="B178" s="46" t="str">
        <x:v>ודא כי חלקים ניידים לא משתפשפים</x:v>
      </x:c>
      <x:c r="C178" s="46" t="str">
        <x:v>ודא כי חלקים ניידים לא משתפשפים</x:v>
      </x:c>
      <x:c r="D178" s="46" t="str">
        <x:v>operator_monitoring</x:v>
      </x:c>
      <x:c r="E178" s="46" t="n">
        <x:v>1</x:v>
      </x:c>
      <x:c r="F178" s="46" t="str">
        <x:v>week</x:v>
      </x:c>
      <x:c r="G178" s="46" t="n">
        <x:v>5</x:v>
      </x:c>
      <x:c r="H178" s="46" t="str"/>
      <x:c r="I178" s="47" t="b">
        <x:v>0</x:v>
      </x:c>
      <x:c r="J178" s="46" t="str">
        <x:v>medium</x:v>
      </x:c>
      <x:c r="K178" s="53" t="str"/>
      <x:c r="L178" s="53" t="str"/>
      <x:c r="M178" s="46" t="str"/>
      <x:c r="N178" s="46" t="str"/>
      <x:c r="O178" s="46" t="str"/>
      <x:c r="P178" s="46" t="str">
        <x:v>אחזקה מונעת - עטיפות.xlsx</x:v>
      </x:c>
      <x:c r="Q178" s="46" t="str">
        <x:v>מכונת קלינצינג</x:v>
      </x:c>
      <x:c r="R178" s="46" t="n">
        <x:v>177</x:v>
      </x:c>
      <x:c r="S178" s="47" t="b">
        <x:v>1</x:v>
      </x:c>
    </x:row>
    <x:row r="179">
      <x:c r="A179" s="46" t="str">
        <x:v>PM-00176</x:v>
      </x:c>
      <x:c r="B179" s="46" t="str">
        <x:v>בדוק שאין נזילות שמן מהחיבורים</x:v>
      </x:c>
      <x:c r="C179" s="46" t="str">
        <x:v>בדוק שאין נזילות שמן מהחיבורים</x:v>
      </x:c>
      <x:c r="D179" s="46" t="str">
        <x:v>maintenance</x:v>
      </x:c>
      <x:c r="E179" s="46" t="n">
        <x:v>1</x:v>
      </x:c>
      <x:c r="F179" s="46" t="str">
        <x:v>month</x:v>
      </x:c>
      <x:c r="G179" s="46" t="n">
        <x:v>10</x:v>
      </x:c>
      <x:c r="H179" s="46" t="str"/>
      <x:c r="I179" s="47" t="b">
        <x:v>0</x:v>
      </x:c>
      <x:c r="J179" s="46" t="str">
        <x:v>medium</x:v>
      </x:c>
      <x:c r="K179" s="53" t="str"/>
      <x:c r="L179" s="53" t="str"/>
      <x:c r="M179" s="46" t="str"/>
      <x:c r="N179" s="46" t="str"/>
      <x:c r="O179" s="46" t="str"/>
      <x:c r="P179" s="46" t="str">
        <x:v>אחזקה מונעת - עטיפות.xlsx</x:v>
      </x:c>
      <x:c r="Q179" s="46" t="str">
        <x:v>מכונת קלינצינג</x:v>
      </x:c>
      <x:c r="R179" s="46" t="n">
        <x:v>178</x:v>
      </x:c>
      <x:c r="S179" s="47" t="b">
        <x:v>1</x:v>
      </x:c>
    </x:row>
    <x:row r="180">
      <x:c r="A180" s="46" t="str">
        <x:v>PM-00177</x:v>
      </x:c>
      <x:c r="B180" s="46" t="str">
        <x:v>מילוי שמן במידת הצורך</x:v>
      </x:c>
      <x:c r="C180" s="46" t="str">
        <x:v>מילוי שמן במידת הצורך</x:v>
      </x:c>
      <x:c r="D180" s="46" t="str">
        <x:v>maintenance</x:v>
      </x:c>
      <x:c r="E180" s="46" t="n">
        <x:v>1</x:v>
      </x:c>
      <x:c r="F180" s="46" t="str">
        <x:v>month</x:v>
      </x:c>
      <x:c r="G180" s="46" t="n">
        <x:v>10</x:v>
      </x:c>
      <x:c r="H180" s="46" t="str"/>
      <x:c r="I180" s="47" t="b">
        <x:v>0</x:v>
      </x:c>
      <x:c r="J180" s="46" t="str">
        <x:v>medium</x:v>
      </x:c>
      <x:c r="K180" s="53" t="str"/>
      <x:c r="L180" s="53" t="str"/>
      <x:c r="M180" s="46" t="str"/>
      <x:c r="N180" s="46" t="str"/>
      <x:c r="O180" s="46" t="str"/>
      <x:c r="P180" s="46" t="str">
        <x:v>אחזקה מונעת - עטיפות.xlsx</x:v>
      </x:c>
      <x:c r="Q180" s="46" t="str">
        <x:v>מכונת קלינצינג</x:v>
      </x:c>
      <x:c r="R180" s="46" t="n">
        <x:v>179</x:v>
      </x:c>
      <x:c r="S180" s="47" t="b">
        <x:v>1</x:v>
      </x:c>
    </x:row>
    <x:row r="181">
      <x:c r="A181" s="46" t="str">
        <x:v>PM-00178</x:v>
      </x:c>
      <x:c r="B181" s="46" t="str">
        <x:v>בדוק שאין דליפות אויר</x:v>
      </x:c>
      <x:c r="C181" s="46" t="str">
        <x:v>בדוק שאין דליפות אויר</x:v>
      </x:c>
      <x:c r="D181" s="46" t="str">
        <x:v>maintenance</x:v>
      </x:c>
      <x:c r="E181" s="46" t="n">
        <x:v>1</x:v>
      </x:c>
      <x:c r="F181" s="46" t="str">
        <x:v>month</x:v>
      </x:c>
      <x:c r="G181" s="46" t="n">
        <x:v>10</x:v>
      </x:c>
      <x:c r="H181" s="46" t="str"/>
      <x:c r="I181" s="47" t="b">
        <x:v>0</x:v>
      </x:c>
      <x:c r="J181" s="46" t="str">
        <x:v>medium</x:v>
      </x:c>
      <x:c r="K181" s="53" t="str"/>
      <x:c r="L181" s="53" t="str"/>
      <x:c r="M181" s="46" t="str"/>
      <x:c r="N181" s="46" t="str"/>
      <x:c r="O181" s="46" t="str"/>
      <x:c r="P181" s="46" t="str">
        <x:v>אחזקה מונעת - עטיפות.xlsx</x:v>
      </x:c>
      <x:c r="Q181" s="46" t="str">
        <x:v>מכונת קלינצינג</x:v>
      </x:c>
      <x:c r="R181" s="46" t="n">
        <x:v>180</x:v>
      </x:c>
      <x:c r="S181" s="47" t="b">
        <x:v>1</x:v>
      </x:c>
    </x:row>
    <x:row r="182">
      <x:c r="A182" s="46" t="str">
        <x:v>PM-00179</x:v>
      </x:c>
      <x:c r="B182" s="46" t="str">
        <x:v>רוקן את מפריד המים של יחידת שירות</x:v>
      </x:c>
      <x:c r="C182" s="46" t="str">
        <x:v>רוקן את מפריד המים של יחידת שירות</x:v>
      </x:c>
      <x:c r="D182" s="46" t="str">
        <x:v>maintenance</x:v>
      </x:c>
      <x:c r="E182" s="46" t="n">
        <x:v>1</x:v>
      </x:c>
      <x:c r="F182" s="46" t="str">
        <x:v>month</x:v>
      </x:c>
      <x:c r="G182" s="46" t="n">
        <x:v>1</x:v>
      </x:c>
      <x:c r="H182" s="46" t="str"/>
      <x:c r="I182" s="47" t="b">
        <x:v>0</x:v>
      </x:c>
      <x:c r="J182" s="46" t="str">
        <x:v>medium</x:v>
      </x:c>
      <x:c r="K182" s="53" t="str"/>
      <x:c r="L182" s="53" t="str"/>
      <x:c r="M182" s="46" t="str"/>
      <x:c r="N182" s="46" t="str"/>
      <x:c r="O182" s="46" t="str"/>
      <x:c r="P182" s="46" t="str">
        <x:v>אחזקה מונעת - עטיפות.xlsx</x:v>
      </x:c>
      <x:c r="Q182" s="46" t="str">
        <x:v>מכונת קלינצינג</x:v>
      </x:c>
      <x:c r="R182" s="46" t="n">
        <x:v>181</x:v>
      </x:c>
      <x:c r="S182" s="47" t="b">
        <x:v>1</x:v>
      </x:c>
    </x:row>
    <x:row r="183">
      <x:c r="A183" s="46" t="str">
        <x:v>PM-00180</x:v>
      </x:c>
      <x:c r="B183" s="46" t="str">
        <x:v>ניקוי ושימון מסילות של העגלה נעה</x:v>
      </x:c>
      <x:c r="C183" s="46" t="str">
        <x:v>ניקוי ושימון מסילות של העגלה נעה</x:v>
      </x:c>
      <x:c r="D183" s="46" t="str">
        <x:v>maintenance</x:v>
      </x:c>
      <x:c r="E183" s="46" t="n">
        <x:v>1</x:v>
      </x:c>
      <x:c r="F183" s="46" t="str">
        <x:v>month</x:v>
      </x:c>
      <x:c r="G183" s="46"/>
      <x:c r="H183" s="46" t="str"/>
      <x:c r="I183" s="47" t="b">
        <x:v>0</x:v>
      </x:c>
      <x:c r="J183" s="46" t="str">
        <x:v>medium</x:v>
      </x:c>
      <x:c r="K183" s="53" t="str"/>
      <x:c r="L183" s="53" t="str"/>
      <x:c r="M183" s="46" t="str"/>
      <x:c r="N183" s="46" t="str"/>
      <x:c r="O183" s="46" t="str"/>
      <x:c r="P183" s="46" t="str">
        <x:v>אחזקה מונעת - עטיפות.xlsx</x:v>
      </x:c>
      <x:c r="Q183" s="46" t="str">
        <x:v>מכונת קלינצינג</x:v>
      </x:c>
      <x:c r="R183" s="46" t="n">
        <x:v>182</x:v>
      </x:c>
      <x:c r="S183" s="47" t="b">
        <x:v>1</x:v>
      </x:c>
    </x:row>
    <x:row r="184">
      <x:c r="A184" s="46" t="str">
        <x:v>PM-00181</x:v>
      </x:c>
      <x:c r="B184" s="46" t="str">
        <x:v>בדוק לחץ אויר</x:v>
      </x:c>
      <x:c r="C184" s="46" t="str">
        <x:v>בדוק לחץ אויר</x:v>
      </x:c>
      <x:c r="D184" s="46" t="str">
        <x:v>maintenance</x:v>
      </x:c>
      <x:c r="E184" s="46" t="n">
        <x:v>1</x:v>
      </x:c>
      <x:c r="F184" s="46" t="str">
        <x:v>month</x:v>
      </x:c>
      <x:c r="G184" s="46" t="n">
        <x:v>1</x:v>
      </x:c>
      <x:c r="H184" s="46" t="str"/>
      <x:c r="I184" s="47" t="b">
        <x:v>0</x:v>
      </x:c>
      <x:c r="J184" s="46" t="str">
        <x:v>medium</x:v>
      </x:c>
      <x:c r="K184" s="53" t="str"/>
      <x:c r="L184" s="53" t="str"/>
      <x:c r="M184" s="46" t="str"/>
      <x:c r="N184" s="46" t="str"/>
      <x:c r="O184" s="46" t="str"/>
      <x:c r="P184" s="46" t="str">
        <x:v>אחזקה מונעת - עטיפות.xlsx</x:v>
      </x:c>
      <x:c r="Q184" s="46" t="str">
        <x:v>מכונת קלינצינג</x:v>
      </x:c>
      <x:c r="R184" s="46" t="n">
        <x:v>183</x:v>
      </x:c>
      <x:c r="S184" s="47" t="b">
        <x:v>1</x:v>
      </x:c>
    </x:row>
    <x:row r="185">
      <x:c r="A185" s="46" t="str">
        <x:v>PM-00182</x:v>
      </x:c>
      <x:c r="B185" s="46" t="str">
        <x:v>בדיקת בוסטר לתקינות, נזילות שמן ודליפות אויר</x:v>
      </x:c>
      <x:c r="C185" s="46" t="str">
        <x:v>בדיקת בוסטר לתקינות, נזילות שמן ודליפות אויר</x:v>
      </x:c>
      <x:c r="D185" s="46" t="str">
        <x:v>maintenance</x:v>
      </x:c>
      <x:c r="E185" s="46" t="n">
        <x:v>1</x:v>
      </x:c>
      <x:c r="F185" s="46" t="str">
        <x:v>month</x:v>
      </x:c>
      <x:c r="G185" s="46" t="n">
        <x:v>10</x:v>
      </x:c>
      <x:c r="H185" s="46" t="str"/>
      <x:c r="I185" s="47" t="b">
        <x:v>0</x:v>
      </x:c>
      <x:c r="J185" s="46" t="str">
        <x:v>medium</x:v>
      </x:c>
      <x:c r="K185" s="53" t="str"/>
      <x:c r="L185" s="53" t="str"/>
      <x:c r="M185" s="46" t="str"/>
      <x:c r="N185" s="46" t="str"/>
      <x:c r="O185" s="46" t="str"/>
      <x:c r="P185" s="46" t="str">
        <x:v>אחזקה מונעת - עטיפות.xlsx</x:v>
      </x:c>
      <x:c r="Q185" s="46" t="str">
        <x:v>מכונת קלינצינג</x:v>
      </x:c>
      <x:c r="R185" s="46" t="n">
        <x:v>184</x:v>
      </x:c>
      <x:c r="S185" s="47" t="b">
        <x:v>1</x:v>
      </x:c>
    </x:row>
    <x:row r="186">
      <x:c r="A186" s="46" t="str">
        <x:v>PM-00183</x:v>
      </x:c>
      <x:c r="B186" s="46" t="str">
        <x:v>בדיקת אביזרי חשמל לתקינות (כולל כבלים ומחברים)</x:v>
      </x:c>
      <x:c r="C186" s="46" t="str">
        <x:v>בדיקת אביזרי חשמל לתקינות (כולל כבלים ומחברים)</x:v>
      </x:c>
      <x:c r="D186" s="46" t="str">
        <x:v>maintenance</x:v>
      </x:c>
      <x:c r="E186" s="46" t="n">
        <x:v>1</x:v>
      </x:c>
      <x:c r="F186" s="46" t="str">
        <x:v>month</x:v>
      </x:c>
      <x:c r="G186" s="46" t="n">
        <x:v>20</x:v>
      </x:c>
      <x:c r="H186" s="46" t="str"/>
      <x:c r="I186" s="47" t="b">
        <x:v>0</x:v>
      </x:c>
      <x:c r="J186" s="46" t="str">
        <x:v>medium</x:v>
      </x:c>
      <x:c r="K186" s="53" t="str"/>
      <x:c r="L186" s="53" t="str"/>
      <x:c r="M186" s="46" t="str"/>
      <x:c r="N186" s="46" t="str"/>
      <x:c r="O186" s="46" t="str"/>
      <x:c r="P186" s="46" t="str">
        <x:v>אחזקה מונעת - עטיפות.xlsx</x:v>
      </x:c>
      <x:c r="Q186" s="46" t="str">
        <x:v>מכונת קלינצינג</x:v>
      </x:c>
      <x:c r="R186" s="46" t="n">
        <x:v>185</x:v>
      </x:c>
      <x:c r="S186" s="47" t="b">
        <x:v>1</x:v>
      </x:c>
    </x:row>
    <x:row r="187">
      <x:c r="A187" s="46" t="str">
        <x:v>PM-00184</x:v>
      </x:c>
      <x:c r="B187" s="46" t="str">
        <x:v>בדיקה וניקוי ארון חשמל ע"י אויר</x:v>
      </x:c>
      <x:c r="C187" s="46" t="str">
        <x:v>בדיקה וניקוי ארון חשמל ע"י אויר</x:v>
      </x:c>
      <x:c r="D187" s="46" t="str">
        <x:v>maintenance</x:v>
      </x:c>
      <x:c r="E187" s="46" t="n">
        <x:v>1</x:v>
      </x:c>
      <x:c r="F187" s="46" t="str">
        <x:v>month</x:v>
      </x:c>
      <x:c r="G187" s="46" t="n">
        <x:v>20</x:v>
      </x:c>
      <x:c r="H187" s="46" t="str"/>
      <x:c r="I187" s="47" t="b">
        <x:v>0</x:v>
      </x:c>
      <x:c r="J187" s="46" t="str">
        <x:v>medium</x:v>
      </x:c>
      <x:c r="K187" s="53" t="str"/>
      <x:c r="L187" s="53" t="str"/>
      <x:c r="M187" s="46" t="str"/>
      <x:c r="N187" s="46" t="str"/>
      <x:c r="O187" s="46" t="str"/>
      <x:c r="P187" s="46" t="str">
        <x:v>אחזקה מונעת - עטיפות.xlsx</x:v>
      </x:c>
      <x:c r="Q187" s="46" t="str">
        <x:v>מכונת קלינצינג</x:v>
      </x:c>
      <x:c r="R187" s="46" t="n">
        <x:v>186</x:v>
      </x:c>
      <x:c r="S187" s="47" t="b">
        <x:v>1</x:v>
      </x:c>
    </x:row>
    <x:row r="188">
      <x:c r="A188" s="46" t="str">
        <x:v>PM-00185</x:v>
      </x:c>
      <x:c r="B188" s="46" t="str">
        <x:v>בדיקת סקנאר בטיחות לתקינות</x:v>
      </x:c>
      <x:c r="C188" s="46" t="str">
        <x:v>בדיקת סקנאר בטיחות לתקינות</x:v>
      </x:c>
      <x:c r="D188" s="46" t="str">
        <x:v>maintenance</x:v>
      </x:c>
      <x:c r="E188" s="46" t="n">
        <x:v>1</x:v>
      </x:c>
      <x:c r="F188" s="46" t="str">
        <x:v>month</x:v>
      </x:c>
      <x:c r="G188" s="46" t="n">
        <x:v>10</x:v>
      </x:c>
      <x:c r="H188" s="46" t="str"/>
      <x:c r="I188" s="47" t="b">
        <x:v>0</x:v>
      </x:c>
      <x:c r="J188" s="46" t="str">
        <x:v>medium</x:v>
      </x:c>
      <x:c r="K188" s="53" t="str"/>
      <x:c r="L188" s="53" t="str"/>
      <x:c r="M188" s="46" t="str"/>
      <x:c r="N188" s="46" t="str"/>
      <x:c r="O188" s="46" t="str"/>
      <x:c r="P188" s="46" t="str">
        <x:v>אחזקה מונעת - עטיפות.xlsx</x:v>
      </x:c>
      <x:c r="Q188" s="46" t="str">
        <x:v>מכונת קלינצינג</x:v>
      </x:c>
      <x:c r="R188" s="46" t="n">
        <x:v>187</x:v>
      </x:c>
      <x:c r="S188" s="47" t="b">
        <x:v>1</x:v>
      </x:c>
    </x:row>
    <x:row r="189">
      <x:c r="A189" s="46" t="str">
        <x:v>PM-00186</x:v>
      </x:c>
      <x:c r="B189" s="46" t="str">
        <x:v>בדיקת שסתומים פנאומטים לזליגת אויר ולתקינות</x:v>
      </x:c>
      <x:c r="C189" s="46" t="str">
        <x:v>בדיקת שסתומים פנאומטים לזליגת אויר ולתקינות</x:v>
      </x:c>
      <x:c r="D189" s="46" t="str">
        <x:v>maintenance</x:v>
      </x:c>
      <x:c r="E189" s="46" t="n">
        <x:v>1</x:v>
      </x:c>
      <x:c r="F189" s="46" t="str">
        <x:v>month</x:v>
      </x:c>
      <x:c r="G189" s="46" t="n">
        <x:v>20</x:v>
      </x:c>
      <x:c r="H189" s="46" t="str"/>
      <x:c r="I189" s="47" t="b">
        <x:v>0</x:v>
      </x:c>
      <x:c r="J189" s="46" t="str">
        <x:v>medium</x:v>
      </x:c>
      <x:c r="K189" s="53" t="str"/>
      <x:c r="L189" s="53" t="str"/>
      <x:c r="M189" s="46" t="str"/>
      <x:c r="N189" s="46" t="str"/>
      <x:c r="O189" s="46" t="str"/>
      <x:c r="P189" s="46" t="str">
        <x:v>אחזקה מונעת - עטיפות.xlsx</x:v>
      </x:c>
      <x:c r="Q189" s="46" t="str">
        <x:v>מכונת קלינצינג</x:v>
      </x:c>
      <x:c r="R189" s="46" t="n">
        <x:v>188</x:v>
      </x:c>
      <x:c r="S189" s="47" t="b">
        <x:v>1</x:v>
      </x:c>
    </x:row>
    <x:row r="190">
      <x:c r="A190" s="46" t="str">
        <x:v>PM-00187</x:v>
      </x:c>
      <x:c r="B190" s="46" t="str">
        <x:v>ניקוי מכונה</x:v>
      </x:c>
      <x:c r="C190" s="46" t="str">
        <x:v>ניקוי מכונה</x:v>
      </x:c>
      <x:c r="D190" s="46" t="str">
        <x:v>operator_monitoring</x:v>
      </x:c>
      <x:c r="E190" s="46" t="n">
        <x:v>1</x:v>
      </x:c>
      <x:c r="F190" s="46" t="str">
        <x:v>day</x:v>
      </x:c>
      <x:c r="G190" s="46" t="n">
        <x:v>5</x:v>
      </x:c>
      <x:c r="H190" s="46" t="str"/>
      <x:c r="I190" s="47" t="b">
        <x:v>0</x:v>
      </x:c>
      <x:c r="J190" s="46" t="str">
        <x:v>medium</x:v>
      </x:c>
      <x:c r="K190" s="53" t="str"/>
      <x:c r="L190" s="53" t="str"/>
      <x:c r="M190" s="46" t="str"/>
      <x:c r="N190" s="46" t="str"/>
      <x:c r="O190" s="46" t="str"/>
      <x:c r="P190" s="46" t="str">
        <x:v>אחזקה מונעת - עטיפות.xlsx</x:v>
      </x:c>
      <x:c r="Q190" s="46" t="str">
        <x:v>מכונת JI-GA</x:v>
      </x:c>
      <x:c r="R190" s="46" t="n">
        <x:v>189</x:v>
      </x:c>
      <x:c r="S190" s="47" t="b">
        <x:v>1</x:v>
      </x:c>
    </x:row>
    <x:row r="191">
      <x:c r="A191" s="46" t="str">
        <x:v>PM-00188</x:v>
      </x:c>
      <x:c r="B191" s="46" t="str">
        <x:v>בדיקת מכונה לרעשים חריגים</x:v>
      </x:c>
      <x:c r="C191" s="46" t="str">
        <x:v>בדיקת מכונה לרעשים חריגים</x:v>
      </x:c>
      <x:c r="D191" s="46" t="str">
        <x:v>operator_monitoring</x:v>
      </x:c>
      <x:c r="E191" s="46" t="n">
        <x:v>1</x:v>
      </x:c>
      <x:c r="F191" s="46" t="str">
        <x:v>week</x:v>
      </x:c>
      <x:c r="G191" s="46" t="n">
        <x:v>5</x:v>
      </x:c>
      <x:c r="H191" s="46" t="str"/>
      <x:c r="I191" s="47" t="b">
        <x:v>0</x:v>
      </x:c>
      <x:c r="J191" s="46" t="str">
        <x:v>medium</x:v>
      </x:c>
      <x:c r="K191" s="53" t="str"/>
      <x:c r="L191" s="53" t="str"/>
      <x:c r="M191" s="46" t="str"/>
      <x:c r="N191" s="46" t="str"/>
      <x:c r="O191" s="46" t="str"/>
      <x:c r="P191" s="46" t="str">
        <x:v>אחזקה מונעת - עטיפות.xlsx</x:v>
      </x:c>
      <x:c r="Q191" s="46" t="str">
        <x:v>מכונת JI-GA</x:v>
      </x:c>
      <x:c r="R191" s="46" t="n">
        <x:v>190</x:v>
      </x:c>
      <x:c r="S191" s="47" t="b">
        <x:v>1</x:v>
      </x:c>
    </x:row>
    <x:row r="192">
      <x:c r="A192" s="46" t="str">
        <x:v>PM-00189</x:v>
      </x:c>
      <x:c r="B192" s="46" t="str">
        <x:v>בדיקה וחיזוק ברגים משוחררים</x:v>
      </x:c>
      <x:c r="C192" s="46" t="str">
        <x:v>בדיקה וחיזוק ברגים משוחררים</x:v>
      </x:c>
      <x:c r="D192" s="46" t="str">
        <x:v>maintenance</x:v>
      </x:c>
      <x:c r="E192" s="46" t="n">
        <x:v>1</x:v>
      </x:c>
      <x:c r="F192" s="46" t="str">
        <x:v>month</x:v>
      </x:c>
      <x:c r="G192" s="46" t="n">
        <x:v>20</x:v>
      </x:c>
      <x:c r="H192" s="46" t="str"/>
      <x:c r="I192" s="47" t="b">
        <x:v>0</x:v>
      </x:c>
      <x:c r="J192" s="46" t="str">
        <x:v>medium</x:v>
      </x:c>
      <x:c r="K192" s="53" t="str"/>
      <x:c r="L192" s="53" t="str"/>
      <x:c r="M192" s="46" t="str"/>
      <x:c r="N192" s="46" t="str"/>
      <x:c r="O192" s="46" t="str"/>
      <x:c r="P192" s="46" t="str">
        <x:v>אחזקה מונעת - עטיפות.xlsx</x:v>
      </x:c>
      <x:c r="Q192" s="46" t="str">
        <x:v>מכונת JI-GA</x:v>
      </x:c>
      <x:c r="R192" s="46" t="n">
        <x:v>191</x:v>
      </x:c>
      <x:c r="S192" s="47" t="b">
        <x:v>1</x:v>
      </x:c>
    </x:row>
    <x:row r="193">
      <x:c r="A193" s="46" t="str">
        <x:v>PM-00190</x:v>
      </x:c>
      <x:c r="B193" s="46" t="str">
        <x:v>ריסוס ספריי רצועות על הרצועות הנעה</x:v>
      </x:c>
      <x:c r="C193" s="46" t="str">
        <x:v>ריסוס ספריי רצועות על הרצועות הנעה</x:v>
      </x:c>
      <x:c r="D193" s="46" t="str">
        <x:v>maintenance</x:v>
      </x:c>
      <x:c r="E193" s="46" t="n">
        <x:v>1</x:v>
      </x:c>
      <x:c r="F193" s="46" t="str">
        <x:v>month</x:v>
      </x:c>
      <x:c r="G193" s="46" t="n">
        <x:v>5</x:v>
      </x:c>
      <x:c r="H193" s="46" t="str"/>
      <x:c r="I193" s="47" t="b">
        <x:v>0</x:v>
      </x:c>
      <x:c r="J193" s="46" t="str">
        <x:v>medium</x:v>
      </x:c>
      <x:c r="K193" s="53" t="str"/>
      <x:c r="L193" s="53" t="str"/>
      <x:c r="M193" s="46" t="str"/>
      <x:c r="N193" s="46" t="str"/>
      <x:c r="O193" s="46" t="str"/>
      <x:c r="P193" s="46" t="str">
        <x:v>אחזקה מונעת - עטיפות.xlsx</x:v>
      </x:c>
      <x:c r="Q193" s="46" t="str">
        <x:v>מכונת JI-GA</x:v>
      </x:c>
      <x:c r="R193" s="46" t="n">
        <x:v>192</x:v>
      </x:c>
      <x:c r="S193" s="47" t="b">
        <x:v>1</x:v>
      </x:c>
    </x:row>
    <x:row r="194">
      <x:c r="A194" s="46" t="str">
        <x:v>PM-00191</x:v>
      </x:c>
      <x:c r="B194" s="46" t="str">
        <x:v>בדיקת רצועת הנעה</x:v>
      </x:c>
      <x:c r="C194" s="46" t="str">
        <x:v>בדיקת רצועת הנעה</x:v>
      </x:c>
      <x:c r="D194" s="46" t="str">
        <x:v>maintenance</x:v>
      </x:c>
      <x:c r="E194" s="46" t="n">
        <x:v>1</x:v>
      </x:c>
      <x:c r="F194" s="46" t="str">
        <x:v>month</x:v>
      </x:c>
      <x:c r="G194" s="46" t="n">
        <x:v>5</x:v>
      </x:c>
      <x:c r="H194" s="46" t="str"/>
      <x:c r="I194" s="47" t="b">
        <x:v>0</x:v>
      </x:c>
      <x:c r="J194" s="46" t="str">
        <x:v>medium</x:v>
      </x:c>
      <x:c r="K194" s="53" t="str"/>
      <x:c r="L194" s="53" t="str"/>
      <x:c r="M194" s="46" t="str"/>
      <x:c r="N194" s="46" t="str"/>
      <x:c r="O194" s="46" t="str"/>
      <x:c r="P194" s="46" t="str">
        <x:v>אחזקה מונעת - עטיפות.xlsx</x:v>
      </x:c>
      <x:c r="Q194" s="46" t="str">
        <x:v>מכונת JI-GA</x:v>
      </x:c>
      <x:c r="R194" s="46" t="n">
        <x:v>193</x:v>
      </x:c>
      <x:c r="S194" s="47" t="b">
        <x:v>1</x:v>
      </x:c>
    </x:row>
    <x:row r="195">
      <x:c r="A195" s="46" t="str">
        <x:v>PM-00192</x:v>
      </x:c>
      <x:c r="B195" s="46" t="str">
        <x:v>בדיקת מנוע לתקינות</x:v>
      </x:c>
      <x:c r="C195" s="46" t="str">
        <x:v>בדיקת מנוע לתקינות</x:v>
      </x:c>
      <x:c r="D195" s="46" t="str">
        <x:v>maintenance</x:v>
      </x:c>
      <x:c r="E195" s="46" t="n">
        <x:v>1</x:v>
      </x:c>
      <x:c r="F195" s="46" t="str">
        <x:v>month</x:v>
      </x:c>
      <x:c r="G195" s="46" t="n">
        <x:v>5</x:v>
      </x:c>
      <x:c r="H195" s="46" t="str"/>
      <x:c r="I195" s="47" t="b">
        <x:v>0</x:v>
      </x:c>
      <x:c r="J195" s="46" t="str">
        <x:v>medium</x:v>
      </x:c>
      <x:c r="K195" s="53" t="str"/>
      <x:c r="L195" s="53" t="str"/>
      <x:c r="M195" s="46" t="str"/>
      <x:c r="N195" s="46" t="str"/>
      <x:c r="O195" s="46" t="str"/>
      <x:c r="P195" s="46" t="str">
        <x:v>אחזקה מונעת - עטיפות.xlsx</x:v>
      </x:c>
      <x:c r="Q195" s="46" t="str">
        <x:v>מכונת JI-GA</x:v>
      </x:c>
      <x:c r="R195" s="46" t="n">
        <x:v>194</x:v>
      </x:c>
      <x:c r="S195" s="47" t="b">
        <x:v>1</x:v>
      </x:c>
    </x:row>
    <x:row r="196">
      <x:c r="A196" s="46" t="str">
        <x:v>PM-00193</x:v>
      </x:c>
      <x:c r="B196" s="46" t="str">
        <x:v>גירוז מסילות, מיסבים ובורג עליה/ירידה</x:v>
      </x:c>
      <x:c r="C196" s="46" t="str">
        <x:v>גירוז מסילות, מיסבים ובורג עליה/ירידה</x:v>
      </x:c>
      <x:c r="D196" s="46" t="str">
        <x:v>maintenance</x:v>
      </x:c>
      <x:c r="E196" s="46" t="n">
        <x:v>1</x:v>
      </x:c>
      <x:c r="F196" s="46" t="str">
        <x:v>month</x:v>
      </x:c>
      <x:c r="G196" s="46" t="n">
        <x:v>10</x:v>
      </x:c>
      <x:c r="H196" s="46" t="str"/>
      <x:c r="I196" s="47" t="b">
        <x:v>0</x:v>
      </x:c>
      <x:c r="J196" s="46" t="str">
        <x:v>medium</x:v>
      </x:c>
      <x:c r="K196" s="53" t="str"/>
      <x:c r="L196" s="53" t="str"/>
      <x:c r="M196" s="46" t="str"/>
      <x:c r="N196" s="46" t="str"/>
      <x:c r="O196" s="46" t="str"/>
      <x:c r="P196" s="46" t="str">
        <x:v>אחזקה מונעת - עטיפות.xlsx</x:v>
      </x:c>
      <x:c r="Q196" s="46" t="str">
        <x:v>מכונת JI-GA</x:v>
      </x:c>
      <x:c r="R196" s="46" t="n">
        <x:v>195</x:v>
      </x:c>
      <x:c r="S196" s="47" t="b">
        <x:v>1</x:v>
      </x:c>
    </x:row>
    <x:row r="197">
      <x:c r="A197" s="46" t="str">
        <x:v>PM-00194</x:v>
      </x:c>
      <x:c r="B197" s="46" t="str">
        <x:v>בדיקת נזילות אויר ממחברים וצילינדר</x:v>
      </x:c>
      <x:c r="C197" s="46" t="str">
        <x:v>בדיקת נזילות אויר ממחברים וצילינדר</x:v>
      </x:c>
      <x:c r="D197" s="46" t="str">
        <x:v>maintenance</x:v>
      </x:c>
      <x:c r="E197" s="46" t="n">
        <x:v>1</x:v>
      </x:c>
      <x:c r="F197" s="46" t="str">
        <x:v>month</x:v>
      </x:c>
      <x:c r="G197" s="46" t="n">
        <x:v>5</x:v>
      </x:c>
      <x:c r="H197" s="46" t="str"/>
      <x:c r="I197" s="47" t="b">
        <x:v>0</x:v>
      </x:c>
      <x:c r="J197" s="46" t="str">
        <x:v>medium</x:v>
      </x:c>
      <x:c r="K197" s="53" t="str"/>
      <x:c r="L197" s="53" t="str"/>
      <x:c r="M197" s="46" t="str"/>
      <x:c r="N197" s="46" t="str"/>
      <x:c r="O197" s="46" t="str"/>
      <x:c r="P197" s="46" t="str">
        <x:v>אחזקה מונעת - עטיפות.xlsx</x:v>
      </x:c>
      <x:c r="Q197" s="46" t="str">
        <x:v>מכונת JI-GA</x:v>
      </x:c>
      <x:c r="R197" s="46" t="n">
        <x:v>196</x:v>
      </x:c>
      <x:c r="S197" s="47" t="b">
        <x:v>1</x:v>
      </x:c>
    </x:row>
    <x:row r="198">
      <x:c r="A198" s="46" t="str">
        <x:v>PM-00195</x:v>
      </x:c>
      <x:c r="B198" s="46" t="str">
        <x:v>בדיקת סכינים לתקינות</x:v>
      </x:c>
      <x:c r="C198" s="46" t="str">
        <x:v>בדיקת סכינים לתקינות</x:v>
      </x:c>
      <x:c r="D198" s="46" t="str">
        <x:v>maintenance</x:v>
      </x:c>
      <x:c r="E198" s="46" t="n">
        <x:v>1</x:v>
      </x:c>
      <x:c r="F198" s="46" t="str">
        <x:v>month</x:v>
      </x:c>
      <x:c r="G198" s="46" t="n">
        <x:v>10</x:v>
      </x:c>
      <x:c r="H198" s="46" t="str"/>
      <x:c r="I198" s="47" t="b">
        <x:v>0</x:v>
      </x:c>
      <x:c r="J198" s="46" t="str">
        <x:v>medium</x:v>
      </x:c>
      <x:c r="K198" s="53" t="str"/>
      <x:c r="L198" s="53" t="str"/>
      <x:c r="M198" s="46" t="str"/>
      <x:c r="N198" s="46" t="str"/>
      <x:c r="O198" s="46" t="str"/>
      <x:c r="P198" s="46" t="str">
        <x:v>אחזקה מונעת - עטיפות.xlsx</x:v>
      </x:c>
      <x:c r="Q198" s="46" t="str">
        <x:v>מכונת JI-GA</x:v>
      </x:c>
      <x:c r="R198" s="46" t="n">
        <x:v>197</x:v>
      </x:c>
      <x:c r="S198" s="47" t="b">
        <x:v>1</x:v>
      </x:c>
    </x:row>
    <x:row r="199">
      <x:c r="A199" s="46" t="str">
        <x:v>PM-00196</x:v>
      </x:c>
      <x:c r="B199" s="46" t="str">
        <x:v>בדיקת אביזרי חשמל לתקינות (כולל כבלים ומחברים)</x:v>
      </x:c>
      <x:c r="C199" s="46" t="str">
        <x:v>בדיקת אביזרי חשמל לתקינות (כולל כבלים ומחברים)</x:v>
      </x:c>
      <x:c r="D199" s="46" t="str">
        <x:v>maintenance</x:v>
      </x:c>
      <x:c r="E199" s="46" t="n">
        <x:v>1</x:v>
      </x:c>
      <x:c r="F199" s="46" t="str">
        <x:v>month</x:v>
      </x:c>
      <x:c r="G199" s="46" t="n">
        <x:v>10</x:v>
      </x:c>
      <x:c r="H199" s="46" t="str"/>
      <x:c r="I199" s="47" t="b">
        <x:v>0</x:v>
      </x:c>
      <x:c r="J199" s="46" t="str">
        <x:v>medium</x:v>
      </x:c>
      <x:c r="K199" s="53" t="str"/>
      <x:c r="L199" s="53" t="str"/>
      <x:c r="M199" s="46" t="str"/>
      <x:c r="N199" s="46" t="str"/>
      <x:c r="O199" s="46" t="str"/>
      <x:c r="P199" s="46" t="str">
        <x:v>אחזקה מונעת - עטיפות.xlsx</x:v>
      </x:c>
      <x:c r="Q199" s="46" t="str">
        <x:v>מכונת JI-GA</x:v>
      </x:c>
      <x:c r="R199" s="46" t="n">
        <x:v>198</x:v>
      </x:c>
      <x:c r="S199" s="47" t="b">
        <x:v>1</x:v>
      </x:c>
    </x:row>
    <x:row r="200">
      <x:c r="A200" s="46" t="str">
        <x:v>PM-00197</x:v>
      </x:c>
      <x:c r="B200" s="46" t="str">
        <x:v>ניקוי מכונה</x:v>
      </x:c>
      <x:c r="C200" s="46" t="str">
        <x:v>ניקוי מכונה</x:v>
      </x:c>
      <x:c r="D200" s="46" t="str">
        <x:v>operator_monitoring</x:v>
      </x:c>
      <x:c r="E200" s="46" t="n">
        <x:v>1</x:v>
      </x:c>
      <x:c r="F200" s="46" t="str">
        <x:v>day</x:v>
      </x:c>
      <x:c r="G200" s="46" t="n">
        <x:v>10</x:v>
      </x:c>
      <x:c r="H200" s="46" t="str"/>
      <x:c r="I200" s="47" t="b">
        <x:v>0</x:v>
      </x:c>
      <x:c r="J200" s="46" t="str">
        <x:v>medium</x:v>
      </x:c>
      <x:c r="K200" s="53" t="str"/>
      <x:c r="L200" s="53" t="str"/>
      <x:c r="M200" s="46" t="str"/>
      <x:c r="N200" s="46" t="str"/>
      <x:c r="O200" s="46" t="str"/>
      <x:c r="P200" s="46" t="str">
        <x:v>אחזקה מונעת - עטיפות.xlsx</x:v>
      </x:c>
      <x:c r="Q200" s="46" t="str">
        <x:v>מכונת עף מים</x:v>
      </x:c>
      <x:c r="R200" s="46" t="n">
        <x:v>199</x:v>
      </x:c>
      <x:c r="S200" s="47" t="b">
        <x:v>1</x:v>
      </x:c>
    </x:row>
    <x:row r="201">
      <x:c r="A201" s="46" t="str">
        <x:v>PM-00198</x:v>
      </x:c>
      <x:c r="B201" s="46" t="str">
        <x:v>בדיקת מכונה לרעשים חריגים</x:v>
      </x:c>
      <x:c r="C201" s="46" t="str">
        <x:v>בדיקת מכונה לרעשים חריגים</x:v>
      </x:c>
      <x:c r="D201" s="46" t="str">
        <x:v>operator_monitoring</x:v>
      </x:c>
      <x:c r="E201" s="46" t="n">
        <x:v>1</x:v>
      </x:c>
      <x:c r="F201" s="46" t="str">
        <x:v>month</x:v>
      </x:c>
      <x:c r="G201" s="46" t="n">
        <x:v>10</x:v>
      </x:c>
      <x:c r="H201" s="46" t="str"/>
      <x:c r="I201" s="47" t="b">
        <x:v>0</x:v>
      </x:c>
      <x:c r="J201" s="46" t="str">
        <x:v>medium</x:v>
      </x:c>
      <x:c r="K201" s="53" t="str"/>
      <x:c r="L201" s="53" t="str"/>
      <x:c r="M201" s="46" t="str"/>
      <x:c r="N201" s="46" t="str"/>
      <x:c r="O201" s="46" t="str"/>
      <x:c r="P201" s="46" t="str">
        <x:v>אחזקה מונעת - עטיפות.xlsx</x:v>
      </x:c>
      <x:c r="Q201" s="46" t="str">
        <x:v>מכונת עף מים</x:v>
      </x:c>
      <x:c r="R201" s="46" t="n">
        <x:v>200</x:v>
      </x:c>
      <x:c r="S201" s="47" t="b">
        <x:v>1</x:v>
      </x:c>
    </x:row>
    <x:row r="202">
      <x:c r="A202" s="46" t="str">
        <x:v>PM-00199</x:v>
      </x:c>
      <x:c r="B202" s="46" t="str">
        <x:v>גירוז מסילות, מיסבים ובורג עליה/ירידה</x:v>
      </x:c>
      <x:c r="C202" s="46" t="str">
        <x:v>גירוז מסילות, מיסבים ובורג עליה/ירידה</x:v>
      </x:c>
      <x:c r="D202" s="46" t="str">
        <x:v>maintenance</x:v>
      </x:c>
      <x:c r="E202" s="46" t="n">
        <x:v>1</x:v>
      </x:c>
      <x:c r="F202" s="46" t="str">
        <x:v>month</x:v>
      </x:c>
      <x:c r="G202" s="46" t="n">
        <x:v>15</x:v>
      </x:c>
      <x:c r="H202" s="46" t="str"/>
      <x:c r="I202" s="47" t="b">
        <x:v>0</x:v>
      </x:c>
      <x:c r="J202" s="46" t="str">
        <x:v>medium</x:v>
      </x:c>
      <x:c r="K202" s="53" t="str"/>
      <x:c r="L202" s="53" t="str"/>
      <x:c r="M202" s="46" t="str"/>
      <x:c r="N202" s="46" t="str"/>
      <x:c r="O202" s="46" t="str"/>
      <x:c r="P202" s="46" t="str">
        <x:v>אחזקה מונעת - עטיפות.xlsx</x:v>
      </x:c>
      <x:c r="Q202" s="46" t="str">
        <x:v>מכונת עף מים</x:v>
      </x:c>
      <x:c r="R202" s="46" t="n">
        <x:v>201</x:v>
      </x:c>
      <x:c r="S202" s="47" t="b">
        <x:v>1</x:v>
      </x:c>
    </x:row>
    <x:row r="203">
      <x:c r="A203" s="46" t="str">
        <x:v>PM-00200</x:v>
      </x:c>
      <x:c r="B203" s="46" t="str">
        <x:v>בדיקת גלגלי לחיצה לתקינות וגופים זרים</x:v>
      </x:c>
      <x:c r="C203" s="46" t="str">
        <x:v>בדיקת גלגלי לחיצה לתקינות וגופים זרים</x:v>
      </x:c>
      <x:c r="D203" s="46" t="str">
        <x:v>maintenance</x:v>
      </x:c>
      <x:c r="E203" s="46" t="n">
        <x:v>1</x:v>
      </x:c>
      <x:c r="F203" s="46" t="str">
        <x:v>month</x:v>
      </x:c>
      <x:c r="G203" s="46" t="n">
        <x:v>10</x:v>
      </x:c>
      <x:c r="H203" s="46" t="str"/>
      <x:c r="I203" s="47" t="b">
        <x:v>0</x:v>
      </x:c>
      <x:c r="J203" s="46" t="str">
        <x:v>medium</x:v>
      </x:c>
      <x:c r="K203" s="53" t="str"/>
      <x:c r="L203" s="53" t="str"/>
      <x:c r="M203" s="46" t="str"/>
      <x:c r="N203" s="46" t="str"/>
      <x:c r="O203" s="46" t="str"/>
      <x:c r="P203" s="46" t="str">
        <x:v>אחזקה מונעת - עטיפות.xlsx</x:v>
      </x:c>
      <x:c r="Q203" s="46" t="str">
        <x:v>מכונת עף מים</x:v>
      </x:c>
      <x:c r="R203" s="46" t="n">
        <x:v>202</x:v>
      </x:c>
      <x:c r="S203" s="47" t="b">
        <x:v>1</x:v>
      </x:c>
    </x:row>
    <x:row r="204">
      <x:c r="A204" s="46" t="str">
        <x:v>PM-00201</x:v>
      </x:c>
      <x:c r="B204" s="46" t="str">
        <x:v>בדיקה וחיזוק ברגים משוחררים</x:v>
      </x:c>
      <x:c r="C204" s="46" t="str">
        <x:v>בדיקה וחיזוק ברגים משוחררים</x:v>
      </x:c>
      <x:c r="D204" s="46" t="str">
        <x:v>maintenance</x:v>
      </x:c>
      <x:c r="E204" s="46" t="n">
        <x:v>1</x:v>
      </x:c>
      <x:c r="F204" s="46" t="str">
        <x:v>month</x:v>
      </x:c>
      <x:c r="G204" s="46" t="n">
        <x:v>10</x:v>
      </x:c>
      <x:c r="H204" s="46" t="str"/>
      <x:c r="I204" s="47" t="b">
        <x:v>0</x:v>
      </x:c>
      <x:c r="J204" s="46" t="str">
        <x:v>medium</x:v>
      </x:c>
      <x:c r="K204" s="53" t="str"/>
      <x:c r="L204" s="53" t="str"/>
      <x:c r="M204" s="46" t="str"/>
      <x:c r="N204" s="46" t="str"/>
      <x:c r="O204" s="46" t="str"/>
      <x:c r="P204" s="46" t="str">
        <x:v>אחזקה מונעת - עטיפות.xlsx</x:v>
      </x:c>
      <x:c r="Q204" s="46" t="str">
        <x:v>מכונת עף מים</x:v>
      </x:c>
      <x:c r="R204" s="46" t="n">
        <x:v>203</x:v>
      </x:c>
      <x:c r="S204" s="47" t="b">
        <x:v>1</x:v>
      </x:c>
    </x:row>
    <x:row r="205">
      <x:c r="A205" s="46" t="str">
        <x:v>PM-00202</x:v>
      </x:c>
      <x:c r="B205" s="46" t="str">
        <x:v>בדיקת יחידת הנעה גיר ומנוע</x:v>
      </x:c>
      <x:c r="C205" s="46" t="str">
        <x:v>בדיקת יחידת הנעה גיר ומנוע</x:v>
      </x:c>
      <x:c r="D205" s="46" t="str">
        <x:v>maintenance</x:v>
      </x:c>
      <x:c r="E205" s="46" t="n">
        <x:v>1</x:v>
      </x:c>
      <x:c r="F205" s="46" t="str">
        <x:v>month</x:v>
      </x:c>
      <x:c r="G205" s="46" t="n">
        <x:v>10</x:v>
      </x:c>
      <x:c r="H205" s="46" t="str"/>
      <x:c r="I205" s="47" t="b">
        <x:v>0</x:v>
      </x:c>
      <x:c r="J205" s="46" t="str">
        <x:v>medium</x:v>
      </x:c>
      <x:c r="K205" s="53" t="str"/>
      <x:c r="L205" s="53" t="str"/>
      <x:c r="M205" s="46" t="str"/>
      <x:c r="N205" s="46" t="str"/>
      <x:c r="O205" s="46" t="str"/>
      <x:c r="P205" s="46" t="str">
        <x:v>אחזקה מונעת - עטיפות.xlsx</x:v>
      </x:c>
      <x:c r="Q205" s="46" t="str">
        <x:v>מכונת עף מים</x:v>
      </x:c>
      <x:c r="R205" s="46" t="n">
        <x:v>204</x:v>
      </x:c>
      <x:c r="S205" s="47" t="b">
        <x:v>1</x:v>
      </x:c>
    </x:row>
    <x:row r="206">
      <x:c r="A206" s="46" t="str">
        <x:v>PM-00203</x:v>
      </x:c>
      <x:c r="B206" s="46" t="str">
        <x:v>בדיקת אביזרי חשמל לתקינות (כולל כבלים ומחברים)</x:v>
      </x:c>
      <x:c r="C206" s="46" t="str">
        <x:v>בדיקת אביזרי חשמל לתקינות (כולל כבלים ומחברים)</x:v>
      </x:c>
      <x:c r="D206" s="46" t="str">
        <x:v>maintenance</x:v>
      </x:c>
      <x:c r="E206" s="46" t="n">
        <x:v>1</x:v>
      </x:c>
      <x:c r="F206" s="46" t="str">
        <x:v>month</x:v>
      </x:c>
      <x:c r="G206" s="46" t="n">
        <x:v>20</x:v>
      </x:c>
      <x:c r="H206" s="46" t="str"/>
      <x:c r="I206" s="47" t="b">
        <x:v>0</x:v>
      </x:c>
      <x:c r="J206" s="46" t="str">
        <x:v>medium</x:v>
      </x:c>
      <x:c r="K206" s="53" t="str"/>
      <x:c r="L206" s="53" t="str"/>
      <x:c r="M206" s="46" t="str"/>
      <x:c r="N206" s="46" t="str"/>
      <x:c r="O206" s="46" t="str"/>
      <x:c r="P206" s="46" t="str">
        <x:v>אחזקה מונעת - עטיפות.xlsx</x:v>
      </x:c>
      <x:c r="Q206" s="46" t="str">
        <x:v>מכונת עף מים</x:v>
      </x:c>
      <x:c r="R206" s="46" t="n">
        <x:v>205</x:v>
      </x:c>
      <x:c r="S206" s="47" t="b">
        <x:v>1</x:v>
      </x:c>
    </x:row>
    <x:row r="207">
      <x:c r="A207" s="46" t="str">
        <x:v>PM-00204</x:v>
      </x:c>
      <x:c r="B207" s="46" t="str">
        <x:v>בדיקת לחצן חרום לתיפקוד</x:v>
      </x:c>
      <x:c r="C207" s="46" t="str">
        <x:v>בדיקת לחצן חרום לתיפקוד</x:v>
      </x:c>
      <x:c r="D207" s="46" t="str">
        <x:v>maintenance</x:v>
      </x:c>
      <x:c r="E207" s="46" t="n">
        <x:v>1</x:v>
      </x:c>
      <x:c r="F207" s="46" t="str">
        <x:v>month</x:v>
      </x:c>
      <x:c r="G207" s="46" t="n">
        <x:v>1</x:v>
      </x:c>
      <x:c r="H207" s="46" t="str"/>
      <x:c r="I207" s="47" t="b">
        <x:v>0</x:v>
      </x:c>
      <x:c r="J207" s="46" t="str">
        <x:v>medium</x:v>
      </x:c>
      <x:c r="K207" s="53" t="str"/>
      <x:c r="L207" s="53" t="str"/>
      <x:c r="M207" s="46" t="str"/>
      <x:c r="N207" s="46" t="str"/>
      <x:c r="O207" s="46" t="str"/>
      <x:c r="P207" s="46" t="str">
        <x:v>אחזקה מונעת - עטיפות.xlsx</x:v>
      </x:c>
      <x:c r="Q207" s="46" t="str">
        <x:v>מכונת עף מים</x:v>
      </x:c>
      <x:c r="R207" s="46" t="n">
        <x:v>206</x:v>
      </x:c>
      <x:c r="S207" s="47" t="b">
        <x:v>1</x:v>
      </x:c>
    </x:row>
    <x:row r="208">
      <x:c r="A208" s="46" t="str">
        <x:v>PM-00205</x:v>
      </x:c>
      <x:c r="B208" s="46" t="str">
        <x:v>בדיקה וניקוי ארון חשמל ע"י אויר</x:v>
      </x:c>
      <x:c r="C208" s="46" t="str">
        <x:v>בדיקה וניקוי ארון חשמל ע"י אויר</x:v>
      </x:c>
      <x:c r="D208" s="46" t="str">
        <x:v>maintenance</x:v>
      </x:c>
      <x:c r="E208" s="46" t="n">
        <x:v>1</x:v>
      </x:c>
      <x:c r="F208" s="46" t="str">
        <x:v>month</x:v>
      </x:c>
      <x:c r="G208" s="46" t="n">
        <x:v>20</x:v>
      </x:c>
      <x:c r="H208" s="46" t="str"/>
      <x:c r="I208" s="47" t="b">
        <x:v>0</x:v>
      </x:c>
      <x:c r="J208" s="46" t="str">
        <x:v>medium</x:v>
      </x:c>
      <x:c r="K208" s="53" t="str"/>
      <x:c r="L208" s="53" t="str"/>
      <x:c r="M208" s="46" t="str"/>
      <x:c r="N208" s="46" t="str"/>
      <x:c r="O208" s="46" t="str"/>
      <x:c r="P208" s="46" t="str">
        <x:v>אחזקה מונעת - עטיפות.xlsx</x:v>
      </x:c>
      <x:c r="Q208" s="46" t="str">
        <x:v>מכונת עף מים</x:v>
      </x:c>
      <x:c r="R208" s="46" t="n">
        <x:v>207</x:v>
      </x:c>
      <x:c r="S208" s="47" t="b">
        <x:v>1</x:v>
      </x:c>
    </x:row>
    <x:row r="209">
      <x:c r="A209" s="46" t="str">
        <x:v>PM-00206</x:v>
      </x:c>
      <x:c r="B209" s="46" t="str">
        <x:v>ניקוי מכונה</x:v>
      </x:c>
      <x:c r="C209" s="46" t="str">
        <x:v>ניקוי מכונה</x:v>
      </x:c>
      <x:c r="D209" s="46" t="str">
        <x:v>operator_monitoring</x:v>
      </x:c>
      <x:c r="E209" s="46" t="n">
        <x:v>1</x:v>
      </x:c>
      <x:c r="F209" s="46" t="str">
        <x:v>day</x:v>
      </x:c>
      <x:c r="G209" s="46" t="n">
        <x:v>15</x:v>
      </x:c>
      <x:c r="H209" s="46" t="str"/>
      <x:c r="I209" s="47" t="b">
        <x:v>0</x:v>
      </x:c>
      <x:c r="J209" s="46" t="str">
        <x:v>medium</x:v>
      </x:c>
      <x:c r="K209" s="53" t="str"/>
      <x:c r="L209" s="53" t="str"/>
      <x:c r="M209" s="46" t="str"/>
      <x:c r="N209" s="46" t="str"/>
      <x:c r="O209" s="46" t="str"/>
      <x:c r="P209" s="46" t="str">
        <x:v>אחזקה מונעת - עטיפות.xlsx</x:v>
      </x:c>
      <x:c r="Q209" s="46" t="str">
        <x:v>מכונת סגירת מכסה</x:v>
      </x:c>
      <x:c r="R209" s="46" t="n">
        <x:v>208</x:v>
      </x:c>
      <x:c r="S209" s="47" t="b">
        <x:v>1</x:v>
      </x:c>
    </x:row>
    <x:row r="210">
      <x:c r="A210" s="46" t="str">
        <x:v>PM-00207</x:v>
      </x:c>
      <x:c r="B210" s="46" t="str">
        <x:v>ניקוי בור תחתית המכונה</x:v>
      </x:c>
      <x:c r="C210" s="46" t="str">
        <x:v>ניקוי בור תחתית המכונה</x:v>
      </x:c>
      <x:c r="D210" s="46" t="str">
        <x:v>operator_monitoring</x:v>
      </x:c>
      <x:c r="E210" s="46" t="n">
        <x:v>1</x:v>
      </x:c>
      <x:c r="F210" s="46" t="str">
        <x:v>day</x:v>
      </x:c>
      <x:c r="G210" s="46" t="n">
        <x:v>20</x:v>
      </x:c>
      <x:c r="H210" s="46" t="str"/>
      <x:c r="I210" s="47" t="b">
        <x:v>0</x:v>
      </x:c>
      <x:c r="J210" s="46" t="str">
        <x:v>medium</x:v>
      </x:c>
      <x:c r="K210" s="53" t="str"/>
      <x:c r="L210" s="53" t="str"/>
      <x:c r="M210" s="46" t="str"/>
      <x:c r="N210" s="46" t="str"/>
      <x:c r="O210" s="46" t="str"/>
      <x:c r="P210" s="46" t="str">
        <x:v>אחזקה מונעת - עטיפות.xlsx</x:v>
      </x:c>
      <x:c r="Q210" s="46" t="str">
        <x:v>מכונת סגירת מכסה</x:v>
      </x:c>
      <x:c r="R210" s="46" t="n">
        <x:v>209</x:v>
      </x:c>
      <x:c r="S210" s="47" t="b">
        <x:v>1</x:v>
      </x:c>
    </x:row>
    <x:row r="211">
      <x:c r="A211" s="46" t="str">
        <x:v>PM-00208</x:v>
      </x:c>
      <x:c r="B211" s="46" t="str">
        <x:v>בדיקת מכונה לרעשים חריגים</x:v>
      </x:c>
      <x:c r="C211" s="46" t="str">
        <x:v>בדיקת מכונה לרעשים חריגים</x:v>
      </x:c>
      <x:c r="D211" s="46" t="str">
        <x:v>operator_monitoring</x:v>
      </x:c>
      <x:c r="E211" s="46" t="n">
        <x:v>1</x:v>
      </x:c>
      <x:c r="F211" s="46" t="str">
        <x:v>month</x:v>
      </x:c>
      <x:c r="G211" s="46" t="n">
        <x:v>10</x:v>
      </x:c>
      <x:c r="H211" s="46" t="str"/>
      <x:c r="I211" s="47" t="b">
        <x:v>0</x:v>
      </x:c>
      <x:c r="J211" s="46" t="str">
        <x:v>medium</x:v>
      </x:c>
      <x:c r="K211" s="53" t="str"/>
      <x:c r="L211" s="53" t="str"/>
      <x:c r="M211" s="46" t="str"/>
      <x:c r="N211" s="46" t="str"/>
      <x:c r="O211" s="46" t="str"/>
      <x:c r="P211" s="46" t="str">
        <x:v>אחזקה מונעת - עטיפות.xlsx</x:v>
      </x:c>
      <x:c r="Q211" s="46" t="str">
        <x:v>מכונת סגירת מכסה</x:v>
      </x:c>
      <x:c r="R211" s="46" t="n">
        <x:v>210</x:v>
      </x:c>
      <x:c r="S211" s="47" t="b">
        <x:v>1</x:v>
      </x:c>
    </x:row>
    <x:row r="212">
      <x:c r="A212" s="46" t="str">
        <x:v>PM-00209</x:v>
      </x:c>
      <x:c r="B212" s="46" t="str">
        <x:v>גירוז מיסבים ובורג עליה/ירידה</x:v>
      </x:c>
      <x:c r="C212" s="46" t="str">
        <x:v>גירוז מיסבים ובורג עליה/ירידה</x:v>
      </x:c>
      <x:c r="D212" s="46" t="str">
        <x:v>maintenance</x:v>
      </x:c>
      <x:c r="E212" s="46" t="n">
        <x:v>1</x:v>
      </x:c>
      <x:c r="F212" s="46" t="str">
        <x:v>month</x:v>
      </x:c>
      <x:c r="G212" s="46" t="n">
        <x:v>5</x:v>
      </x:c>
      <x:c r="H212" s="46" t="str"/>
      <x:c r="I212" s="47" t="b">
        <x:v>0</x:v>
      </x:c>
      <x:c r="J212" s="46" t="str">
        <x:v>medium</x:v>
      </x:c>
      <x:c r="K212" s="53" t="str"/>
      <x:c r="L212" s="53" t="str"/>
      <x:c r="M212" s="46" t="str"/>
      <x:c r="N212" s="46" t="str"/>
      <x:c r="O212" s="46" t="str"/>
      <x:c r="P212" s="46" t="str">
        <x:v>אחזקה מונעת - עטיפות.xlsx</x:v>
      </x:c>
      <x:c r="Q212" s="46" t="str">
        <x:v>מכונת סגירת מכסה</x:v>
      </x:c>
      <x:c r="R212" s="46" t="n">
        <x:v>211</x:v>
      </x:c>
      <x:c r="S212" s="47" t="b">
        <x:v>1</x:v>
      </x:c>
    </x:row>
    <x:row r="213">
      <x:c r="A213" s="46" t="str">
        <x:v>PM-00210</x:v>
      </x:c>
      <x:c r="B213" s="46" t="str">
        <x:v>בדיקת גלגלי לחיצה לתקינות וגופים זרים</x:v>
      </x:c>
      <x:c r="C213" s="46" t="str">
        <x:v>בדיקת גלגלי לחיצה לתקינות וגופים זרים</x:v>
      </x:c>
      <x:c r="D213" s="46" t="str">
        <x:v>maintenance</x:v>
      </x:c>
      <x:c r="E213" s="46" t="n">
        <x:v>1</x:v>
      </x:c>
      <x:c r="F213" s="46" t="str">
        <x:v>month</x:v>
      </x:c>
      <x:c r="G213" s="46" t="n">
        <x:v>10</x:v>
      </x:c>
      <x:c r="H213" s="46" t="str"/>
      <x:c r="I213" s="47" t="b">
        <x:v>0</x:v>
      </x:c>
      <x:c r="J213" s="46" t="str">
        <x:v>medium</x:v>
      </x:c>
      <x:c r="K213" s="53" t="str"/>
      <x:c r="L213" s="53" t="str"/>
      <x:c r="M213" s="46" t="str"/>
      <x:c r="N213" s="46" t="str"/>
      <x:c r="O213" s="46" t="str"/>
      <x:c r="P213" s="46" t="str">
        <x:v>אחזקה מונעת - עטיפות.xlsx</x:v>
      </x:c>
      <x:c r="Q213" s="46" t="str">
        <x:v>מכונת סגירת מכסה</x:v>
      </x:c>
      <x:c r="R213" s="46" t="n">
        <x:v>212</x:v>
      </x:c>
      <x:c r="S213" s="47" t="b">
        <x:v>1</x:v>
      </x:c>
    </x:row>
    <x:row r="214">
      <x:c r="A214" s="46" t="str">
        <x:v>PM-00211</x:v>
      </x:c>
      <x:c r="B214" s="46" t="str">
        <x:v>בדיקת נזילות אויר</x:v>
      </x:c>
      <x:c r="C214" s="46" t="str">
        <x:v>בדיקת נזילות אויר</x:v>
      </x:c>
      <x:c r="D214" s="46" t="str">
        <x:v>maintenance</x:v>
      </x:c>
      <x:c r="E214" s="46" t="n">
        <x:v>1</x:v>
      </x:c>
      <x:c r="F214" s="46" t="str">
        <x:v>month</x:v>
      </x:c>
      <x:c r="G214" s="46" t="n">
        <x:v>5</x:v>
      </x:c>
      <x:c r="H214" s="46" t="str"/>
      <x:c r="I214" s="47" t="b">
        <x:v>0</x:v>
      </x:c>
      <x:c r="J214" s="46" t="str">
        <x:v>medium</x:v>
      </x:c>
      <x:c r="K214" s="53" t="str"/>
      <x:c r="L214" s="53" t="str"/>
      <x:c r="M214" s="46" t="str"/>
      <x:c r="N214" s="46" t="str"/>
      <x:c r="O214" s="46" t="str"/>
      <x:c r="P214" s="46" t="str">
        <x:v>אחזקה מונעת - עטיפות.xlsx</x:v>
      </x:c>
      <x:c r="Q214" s="46" t="str">
        <x:v>מכונת סגירת מכסה</x:v>
      </x:c>
      <x:c r="R214" s="46" t="n">
        <x:v>213</x:v>
      </x:c>
      <x:c r="S214" s="47" t="b">
        <x:v>1</x:v>
      </x:c>
    </x:row>
    <x:row r="215">
      <x:c r="A215" s="46" t="str">
        <x:v>PM-00212</x:v>
      </x:c>
      <x:c r="B215" s="46" t="str">
        <x:v>בדיקת יחידת הנעה גיר ומנוע</x:v>
      </x:c>
      <x:c r="C215" s="46" t="str">
        <x:v>בדיקת יחידת הנעה גיר ומנוע</x:v>
      </x:c>
      <x:c r="D215" s="46" t="str">
        <x:v>maintenance</x:v>
      </x:c>
      <x:c r="E215" s="46" t="n">
        <x:v>1</x:v>
      </x:c>
      <x:c r="F215" s="46" t="str">
        <x:v>month</x:v>
      </x:c>
      <x:c r="G215" s="46" t="n">
        <x:v>10</x:v>
      </x:c>
      <x:c r="H215" s="46" t="str"/>
      <x:c r="I215" s="47" t="b">
        <x:v>0</x:v>
      </x:c>
      <x:c r="J215" s="46" t="str">
        <x:v>medium</x:v>
      </x:c>
      <x:c r="K215" s="53" t="str"/>
      <x:c r="L215" s="53" t="str"/>
      <x:c r="M215" s="46" t="str"/>
      <x:c r="N215" s="46" t="str"/>
      <x:c r="O215" s="46" t="str"/>
      <x:c r="P215" s="46" t="str">
        <x:v>אחזקה מונעת - עטיפות.xlsx</x:v>
      </x:c>
      <x:c r="Q215" s="46" t="str">
        <x:v>מכונת סגירת מכסה</x:v>
      </x:c>
      <x:c r="R215" s="46" t="n">
        <x:v>214</x:v>
      </x:c>
      <x:c r="S215" s="47" t="b">
        <x:v>1</x:v>
      </x:c>
    </x:row>
    <x:row r="216">
      <x:c r="A216" s="46" t="str">
        <x:v>PM-00213</x:v>
      </x:c>
      <x:c r="B216" s="46" t="str">
        <x:v>ריסוס ספריי רצועות על הרצועות הנעה</x:v>
      </x:c>
      <x:c r="C216" s="46" t="str">
        <x:v>ריסוס ספריי רצועות על הרצועות הנעה</x:v>
      </x:c>
      <x:c r="D216" s="46" t="str">
        <x:v>maintenance</x:v>
      </x:c>
      <x:c r="E216" s="46" t="n">
        <x:v>1</x:v>
      </x:c>
      <x:c r="F216" s="46" t="str">
        <x:v>month</x:v>
      </x:c>
      <x:c r="G216" s="46" t="n">
        <x:v>5</x:v>
      </x:c>
      <x:c r="H216" s="46" t="str"/>
      <x:c r="I216" s="47" t="b">
        <x:v>0</x:v>
      </x:c>
      <x:c r="J216" s="46" t="str">
        <x:v>medium</x:v>
      </x:c>
      <x:c r="K216" s="53" t="str"/>
      <x:c r="L216" s="53" t="str"/>
      <x:c r="M216" s="46" t="str"/>
      <x:c r="N216" s="46" t="str"/>
      <x:c r="O216" s="46" t="str"/>
      <x:c r="P216" s="46" t="str">
        <x:v>אחזקה מונעת - עטיפות.xlsx</x:v>
      </x:c>
      <x:c r="Q216" s="46" t="str">
        <x:v>מכונת סגירת מכסה</x:v>
      </x:c>
      <x:c r="R216" s="46" t="n">
        <x:v>215</x:v>
      </x:c>
      <x:c r="S216" s="47" t="b">
        <x:v>1</x:v>
      </x:c>
    </x:row>
    <x:row r="217">
      <x:c r="A217" s="46" t="str">
        <x:v>PM-00214</x:v>
      </x:c>
      <x:c r="B217" s="46" t="str">
        <x:v>בדיקה וחיזוק ברגים משוחררים</x:v>
      </x:c>
      <x:c r="C217" s="46" t="str">
        <x:v>בדיקה וחיזוק ברגים משוחררים</x:v>
      </x:c>
      <x:c r="D217" s="46" t="str">
        <x:v>maintenance</x:v>
      </x:c>
      <x:c r="E217" s="46" t="n">
        <x:v>1</x:v>
      </x:c>
      <x:c r="F217" s="46" t="str">
        <x:v>month</x:v>
      </x:c>
      <x:c r="G217" s="46" t="n">
        <x:v>15</x:v>
      </x:c>
      <x:c r="H217" s="46" t="str"/>
      <x:c r="I217" s="47" t="b">
        <x:v>0</x:v>
      </x:c>
      <x:c r="J217" s="46" t="str">
        <x:v>medium</x:v>
      </x:c>
      <x:c r="K217" s="53" t="str"/>
      <x:c r="L217" s="53" t="str"/>
      <x:c r="M217" s="46" t="str"/>
      <x:c r="N217" s="46" t="str"/>
      <x:c r="O217" s="46" t="str"/>
      <x:c r="P217" s="46" t="str">
        <x:v>אחזקה מונעת - עטיפות.xlsx</x:v>
      </x:c>
      <x:c r="Q217" s="46" t="str">
        <x:v>מכונת סגירת מכסה</x:v>
      </x:c>
      <x:c r="R217" s="46" t="n">
        <x:v>216</x:v>
      </x:c>
      <x:c r="S217" s="47" t="b">
        <x:v>1</x:v>
      </x:c>
    </x:row>
    <x:row r="218">
      <x:c r="A218" s="46" t="str">
        <x:v>PM-00215</x:v>
      </x:c>
      <x:c r="B218" s="46" t="str">
        <x:v>שימון שרשרת הנעה</x:v>
      </x:c>
      <x:c r="C218" s="46" t="str">
        <x:v>שימון שרשרת הנעה</x:v>
      </x:c>
      <x:c r="D218" s="46" t="str">
        <x:v>maintenance</x:v>
      </x:c>
      <x:c r="E218" s="46" t="n">
        <x:v>1</x:v>
      </x:c>
      <x:c r="F218" s="46" t="str">
        <x:v>month</x:v>
      </x:c>
      <x:c r="G218" s="46" t="n">
        <x:v>10</x:v>
      </x:c>
      <x:c r="H218" s="46" t="str"/>
      <x:c r="I218" s="47" t="b">
        <x:v>0</x:v>
      </x:c>
      <x:c r="J218" s="46" t="str">
        <x:v>medium</x:v>
      </x:c>
      <x:c r="K218" s="53" t="str"/>
      <x:c r="L218" s="53" t="str"/>
      <x:c r="M218" s="46" t="str"/>
      <x:c r="N218" s="46" t="str"/>
      <x:c r="O218" s="46" t="str"/>
      <x:c r="P218" s="46" t="str">
        <x:v>אחזקה מונעת - עטיפות.xlsx</x:v>
      </x:c>
      <x:c r="Q218" s="46" t="str">
        <x:v>מכונת סגירת מכסה</x:v>
      </x:c>
      <x:c r="R218" s="46" t="n">
        <x:v>217</x:v>
      </x:c>
      <x:c r="S218" s="47" t="b">
        <x:v>1</x:v>
      </x:c>
    </x:row>
    <x:row r="219">
      <x:c r="A219" s="46" t="str">
        <x:v>PM-00216</x:v>
      </x:c>
      <x:c r="B219" s="46" t="str">
        <x:v>בדיקת אביזרי חשמל לתקינות (כולל כבלים ומחברים)</x:v>
      </x:c>
      <x:c r="C219" s="46" t="str">
        <x:v>בדיקת אביזרי חשמל לתקינות (כולל כבלים ומחברים)</x:v>
      </x:c>
      <x:c r="D219" s="46" t="str">
        <x:v>maintenance</x:v>
      </x:c>
      <x:c r="E219" s="46" t="n">
        <x:v>1</x:v>
      </x:c>
      <x:c r="F219" s="46" t="str">
        <x:v>month</x:v>
      </x:c>
      <x:c r="G219" s="46" t="n">
        <x:v>10</x:v>
      </x:c>
      <x:c r="H219" s="46" t="str"/>
      <x:c r="I219" s="47" t="b">
        <x:v>0</x:v>
      </x:c>
      <x:c r="J219" s="46" t="str">
        <x:v>medium</x:v>
      </x:c>
      <x:c r="K219" s="53" t="str"/>
      <x:c r="L219" s="53" t="str"/>
      <x:c r="M219" s="46" t="str"/>
      <x:c r="N219" s="46" t="str"/>
      <x:c r="O219" s="46" t="str"/>
      <x:c r="P219" s="46" t="str">
        <x:v>אחזקה מונעת - עטיפות.xlsx</x:v>
      </x:c>
      <x:c r="Q219" s="46" t="str">
        <x:v>מכונת סגירת מכסה</x:v>
      </x:c>
      <x:c r="R219" s="46" t="n">
        <x:v>218</x:v>
      </x:c>
      <x:c r="S219" s="47" t="b">
        <x:v>1</x:v>
      </x:c>
    </x:row>
    <x:row r="220">
      <x:c r="A220" s="46" t="str">
        <x:v>PM-00217</x:v>
      </x:c>
      <x:c r="B220" s="46" t="str">
        <x:v>ניקוי מכונות</x:v>
      </x:c>
      <x:c r="C220" s="46" t="str">
        <x:v>ניקוי מכונות</x:v>
      </x:c>
      <x:c r="D220" s="46" t="str">
        <x:v>operator_monitoring</x:v>
      </x:c>
      <x:c r="E220" s="46" t="n">
        <x:v>1</x:v>
      </x:c>
      <x:c r="F220" s="46" t="str">
        <x:v>day</x:v>
      </x:c>
      <x:c r="G220" s="46" t="n">
        <x:v>15</x:v>
      </x:c>
      <x:c r="H220" s="46" t="str"/>
      <x:c r="I220" s="47" t="b">
        <x:v>0</x:v>
      </x:c>
      <x:c r="J220" s="46" t="str">
        <x:v>medium</x:v>
      </x:c>
      <x:c r="K220" s="53" t="str"/>
      <x:c r="L220" s="53" t="str"/>
      <x:c r="M220" s="46" t="str"/>
      <x:c r="N220" s="46" t="str"/>
      <x:c r="O220" s="46" t="str"/>
      <x:c r="P220" s="46" t="str">
        <x:v>אחזקה מונעת - עטיפות.xlsx</x:v>
      </x:c>
      <x:c r="Q220" s="46" t="str">
        <x:v>מכונות ניקוב</x:v>
      </x:c>
      <x:c r="R220" s="46" t="n">
        <x:v>219</x:v>
      </x:c>
      <x:c r="S220" s="47" t="b">
        <x:v>1</x:v>
      </x:c>
    </x:row>
    <x:row r="221">
      <x:c r="A221" s="46" t="str">
        <x:v>PM-00218</x:v>
      </x:c>
      <x:c r="B221" s="46" t="str">
        <x:v>גירוז מיסבים</x:v>
      </x:c>
      <x:c r="C221" s="46" t="str">
        <x:v>גירוז מיסבים</x:v>
      </x:c>
      <x:c r="D221" s="46" t="str">
        <x:v>maintenance</x:v>
      </x:c>
      <x:c r="E221" s="46" t="n">
        <x:v>1</x:v>
      </x:c>
      <x:c r="F221" s="46" t="str">
        <x:v>month</x:v>
      </x:c>
      <x:c r="G221" s="46" t="n">
        <x:v>15</x:v>
      </x:c>
      <x:c r="H221" s="46" t="str"/>
      <x:c r="I221" s="47" t="b">
        <x:v>0</x:v>
      </x:c>
      <x:c r="J221" s="46" t="str">
        <x:v>medium</x:v>
      </x:c>
      <x:c r="K221" s="53" t="str"/>
      <x:c r="L221" s="53" t="str"/>
      <x:c r="M221" s="46" t="str"/>
      <x:c r="N221" s="46" t="str"/>
      <x:c r="O221" s="46" t="str"/>
      <x:c r="P221" s="46" t="str">
        <x:v>אחזקה מונעת - עטיפות.xlsx</x:v>
      </x:c>
      <x:c r="Q221" s="46" t="str">
        <x:v>מכונות ניקוב</x:v>
      </x:c>
      <x:c r="R221" s="46" t="n">
        <x:v>220</x:v>
      </x:c>
      <x:c r="S221" s="47" t="b">
        <x:v>1</x:v>
      </x:c>
    </x:row>
    <x:row r="222">
      <x:c r="A222" s="46" t="str">
        <x:v>PM-00219</x:v>
      </x:c>
      <x:c r="B222" s="46" t="str">
        <x:v>בדיקת מקבים לתקינות</x:v>
      </x:c>
      <x:c r="C222" s="46" t="str">
        <x:v>בדיקת מקבים לתקינות</x:v>
      </x:c>
      <x:c r="D222" s="46" t="str">
        <x:v>maintenance</x:v>
      </x:c>
      <x:c r="E222" s="46" t="n">
        <x:v>1</x:v>
      </x:c>
      <x:c r="F222" s="46" t="str">
        <x:v>month</x:v>
      </x:c>
      <x:c r="G222" s="46" t="n">
        <x:v>20</x:v>
      </x:c>
      <x:c r="H222" s="46" t="str"/>
      <x:c r="I222" s="47" t="b">
        <x:v>0</x:v>
      </x:c>
      <x:c r="J222" s="46" t="str">
        <x:v>medium</x:v>
      </x:c>
      <x:c r="K222" s="53" t="str"/>
      <x:c r="L222" s="53" t="str"/>
      <x:c r="M222" s="46" t="str"/>
      <x:c r="N222" s="46" t="str"/>
      <x:c r="O222" s="46" t="str"/>
      <x:c r="P222" s="46" t="str">
        <x:v>אחזקה מונעת - עטיפות.xlsx</x:v>
      </x:c>
      <x:c r="Q222" s="46" t="str">
        <x:v>מכונות ניקוב</x:v>
      </x:c>
      <x:c r="R222" s="46" t="n">
        <x:v>221</x:v>
      </x:c>
      <x:c r="S222" s="47" t="b">
        <x:v>1</x:v>
      </x:c>
    </x:row>
    <x:row r="223">
      <x:c r="A223" s="46" t="str">
        <x:v>PM-00220</x:v>
      </x:c>
      <x:c r="B223" s="46" t="str">
        <x:v>בדיקת נזילות אויר</x:v>
      </x:c>
      <x:c r="C223" s="46" t="str">
        <x:v>בדיקת נזילות אויר</x:v>
      </x:c>
      <x:c r="D223" s="46" t="str">
        <x:v>maintenance</x:v>
      </x:c>
      <x:c r="E223" s="46" t="n">
        <x:v>1</x:v>
      </x:c>
      <x:c r="F223" s="46" t="str">
        <x:v>month</x:v>
      </x:c>
      <x:c r="G223" s="46" t="n">
        <x:v>20</x:v>
      </x:c>
      <x:c r="H223" s="46" t="str"/>
      <x:c r="I223" s="47" t="b">
        <x:v>0</x:v>
      </x:c>
      <x:c r="J223" s="46" t="str">
        <x:v>medium</x:v>
      </x:c>
      <x:c r="K223" s="53" t="str"/>
      <x:c r="L223" s="53" t="str"/>
      <x:c r="M223" s="46" t="str"/>
      <x:c r="N223" s="46" t="str"/>
      <x:c r="O223" s="46" t="str"/>
      <x:c r="P223" s="46" t="str">
        <x:v>אחזקה מונעת - עטיפות.xlsx</x:v>
      </x:c>
      <x:c r="Q223" s="46" t="str">
        <x:v>מכונות ניקוב</x:v>
      </x:c>
      <x:c r="R223" s="46" t="n">
        <x:v>222</x:v>
      </x:c>
      <x:c r="S223" s="47" t="b">
        <x:v>1</x:v>
      </x:c>
    </x:row>
    <x:row r="224">
      <x:c r="A224" s="46" t="str">
        <x:v>PM-00221</x:v>
      </x:c>
      <x:c r="B224" s="46" t="str">
        <x:v>בדיקת נזילות שמן הידראולי</x:v>
      </x:c>
      <x:c r="C224" s="46" t="str">
        <x:v>בדיקת נזילות שמן הידראולי</x:v>
      </x:c>
      <x:c r="D224" s="46" t="str">
        <x:v>maintenance</x:v>
      </x:c>
      <x:c r="E224" s="46" t="n">
        <x:v>1</x:v>
      </x:c>
      <x:c r="F224" s="46" t="str">
        <x:v>month</x:v>
      </x:c>
      <x:c r="G224" s="46" t="n">
        <x:v>10</x:v>
      </x:c>
      <x:c r="H224" s="46" t="str"/>
      <x:c r="I224" s="47" t="b">
        <x:v>0</x:v>
      </x:c>
      <x:c r="J224" s="46" t="str">
        <x:v>medium</x:v>
      </x:c>
      <x:c r="K224" s="53" t="str"/>
      <x:c r="L224" s="53" t="str"/>
      <x:c r="M224" s="46" t="str"/>
      <x:c r="N224" s="46" t="str"/>
      <x:c r="O224" s="46" t="str"/>
      <x:c r="P224" s="46" t="str">
        <x:v>אחזקה מונעת - עטיפות.xlsx</x:v>
      </x:c>
      <x:c r="Q224" s="46" t="str">
        <x:v>מכונות ניקוב</x:v>
      </x:c>
      <x:c r="R224" s="46" t="n">
        <x:v>223</x:v>
      </x:c>
      <x:c r="S224" s="47" t="b">
        <x:v>1</x:v>
      </x:c>
    </x:row>
    <x:row r="225">
      <x:c r="A225" s="46" t="str">
        <x:v>PM-00222</x:v>
      </x:c>
      <x:c r="B225" s="46" t="str">
        <x:v>בדיקה וחיזוק ברגים משוחררים</x:v>
      </x:c>
      <x:c r="C225" s="46" t="str">
        <x:v>בדיקה וחיזוק ברגים משוחררים</x:v>
      </x:c>
      <x:c r="D225" s="46" t="str">
        <x:v>maintenance</x:v>
      </x:c>
      <x:c r="E225" s="46" t="n">
        <x:v>1</x:v>
      </x:c>
      <x:c r="F225" s="46" t="str">
        <x:v>month</x:v>
      </x:c>
      <x:c r="G225" s="46" t="n">
        <x:v>30</x:v>
      </x:c>
      <x:c r="H225" s="46" t="str"/>
      <x:c r="I225" s="47" t="b">
        <x:v>0</x:v>
      </x:c>
      <x:c r="J225" s="46" t="str">
        <x:v>medium</x:v>
      </x:c>
      <x:c r="K225" s="53" t="str"/>
      <x:c r="L225" s="53" t="str"/>
      <x:c r="M225" s="46" t="str"/>
      <x:c r="N225" s="46" t="str"/>
      <x:c r="O225" s="46" t="str"/>
      <x:c r="P225" s="46" t="str">
        <x:v>אחזקה מונעת - עטיפות.xlsx</x:v>
      </x:c>
      <x:c r="Q225" s="46" t="str">
        <x:v>מכונות ניקוב</x:v>
      </x:c>
      <x:c r="R225" s="46" t="n">
        <x:v>224</x:v>
      </x:c>
      <x:c r="S225" s="47" t="b">
        <x:v>1</x:v>
      </x:c>
    </x:row>
    <x:row r="226">
      <x:c r="A226" s="46" t="str">
        <x:v>PM-00223</x:v>
      </x:c>
      <x:c r="B226" s="46" t="str">
        <x:v>בדיקת אביזרי חשמל לתקינות (כולל כבלים ומחברים)</x:v>
      </x:c>
      <x:c r="C226" s="46" t="str">
        <x:v>בדיקת אביזרי חשמל לתקינות (כולל כבלים ומחברים)</x:v>
      </x:c>
      <x:c r="D226" s="46" t="str">
        <x:v>maintenance</x:v>
      </x:c>
      <x:c r="E226" s="46" t="n">
        <x:v>1</x:v>
      </x:c>
      <x:c r="F226" s="46" t="str">
        <x:v>month</x:v>
      </x:c>
      <x:c r="G226" s="46" t="n">
        <x:v>10</x:v>
      </x:c>
      <x:c r="H226" s="46" t="str"/>
      <x:c r="I226" s="47" t="b">
        <x:v>0</x:v>
      </x:c>
      <x:c r="J226" s="46" t="str">
        <x:v>medium</x:v>
      </x:c>
      <x:c r="K226" s="53" t="str"/>
      <x:c r="L226" s="53" t="str"/>
      <x:c r="M226" s="46" t="str"/>
      <x:c r="N226" s="46" t="str"/>
      <x:c r="O226" s="46" t="str"/>
      <x:c r="P226" s="46" t="str">
        <x:v>אחזקה מונעת - עטיפות.xlsx</x:v>
      </x:c>
      <x:c r="Q226" s="46" t="str">
        <x:v>מכונות ניקוב</x:v>
      </x:c>
      <x:c r="R226" s="46" t="n">
        <x:v>225</x:v>
      </x:c>
      <x:c r="S226" s="47" t="b">
        <x:v>1</x:v>
      </x:c>
    </x:row>
    <x:row r="227">
      <x:c r="A227" s="46" t="str">
        <x:v>PM-00224</x:v>
      </x:c>
      <x:c r="B227" s="46" t="str">
        <x:v>בדיקת עבודה לתקיעות ורעשים חריגים</x:v>
      </x:c>
      <x:c r="C227" s="46" t="str">
        <x:v>בדיקת עבודה לתקיעות ורעשים חריגים</x:v>
      </x:c>
      <x:c r="D227" s="46" t="str">
        <x:v>operator_monitoring</x:v>
      </x:c>
      <x:c r="E227" s="46" t="n">
        <x:v>1</x:v>
      </x:c>
      <x:c r="F227" s="46" t="str">
        <x:v>week</x:v>
      </x:c>
      <x:c r="G227" s="46"/>
      <x:c r="H227" s="46" t="str"/>
      <x:c r="I227" s="47" t="b">
        <x:v>0</x:v>
      </x:c>
      <x:c r="J227" s="46" t="str">
        <x:v>medium</x:v>
      </x:c>
      <x:c r="K227" s="53" t="str"/>
      <x:c r="L227" s="53" t="str"/>
      <x:c r="M227" s="46" t="str"/>
      <x:c r="N227" s="46" t="str"/>
      <x:c r="O227" s="46" t="str"/>
      <x:c r="P227" s="46" t="str">
        <x:v>אחזקה מונעת - עטיפות.xlsx</x:v>
      </x:c>
      <x:c r="Q227" s="46" t="str">
        <x:v>מסוע עילי עטיפות</x:v>
      </x:c>
      <x:c r="R227" s="46" t="n">
        <x:v>226</x:v>
      </x:c>
      <x:c r="S227" s="47" t="b">
        <x:v>1</x:v>
      </x:c>
    </x:row>
    <x:row r="228">
      <x:c r="A228" s="46" t="str">
        <x:v>PM-00225</x:v>
      </x:c>
      <x:c r="B228" s="46" t="str">
        <x:v>ניקוי מסוע ע"י לחץ אויר</x:v>
      </x:c>
      <x:c r="C228" s="46" t="str">
        <x:v>ניקוי מסוע ע"י לחץ אויר</x:v>
      </x:c>
      <x:c r="D228" s="46" t="str">
        <x:v>operator_monitoring</x:v>
      </x:c>
      <x:c r="E228" s="46" t="n">
        <x:v>1</x:v>
      </x:c>
      <x:c r="F228" s="46" t="str">
        <x:v>week</x:v>
      </x:c>
      <x:c r="G228" s="46"/>
      <x:c r="H228" s="46" t="str"/>
      <x:c r="I228" s="47" t="b">
        <x:v>0</x:v>
      </x:c>
      <x:c r="J228" s="46" t="str">
        <x:v>medium</x:v>
      </x:c>
      <x:c r="K228" s="53" t="str"/>
      <x:c r="L228" s="53" t="str"/>
      <x:c r="M228" s="46" t="str"/>
      <x:c r="N228" s="46" t="str"/>
      <x:c r="O228" s="46" t="str"/>
      <x:c r="P228" s="46" t="str">
        <x:v>אחזקה מונעת - עטיפות.xlsx</x:v>
      </x:c>
      <x:c r="Q228" s="46" t="str">
        <x:v>מסוע עילי עטיפות</x:v>
      </x:c>
      <x:c r="R228" s="46" t="n">
        <x:v>227</x:v>
      </x:c>
      <x:c r="S228" s="47" t="b">
        <x:v>1</x:v>
      </x:c>
    </x:row>
    <x:row r="229">
      <x:c r="A229" s="46" t="str">
        <x:v>PM-00226</x:v>
      </x:c>
      <x:c r="B229" s="46" t="str">
        <x:v>בדיקה ומילוי שמן בכוסית שמן אוטומטי</x:v>
      </x:c>
      <x:c r="C229" s="46" t="str">
        <x:v>בדיקה ומילוי שמן בכוסית שמן אוטומטי</x:v>
      </x:c>
      <x:c r="D229" s="46" t="str">
        <x:v>maintenance</x:v>
      </x:c>
      <x:c r="E229" s="46" t="n">
        <x:v>1</x:v>
      </x:c>
      <x:c r="F229" s="46" t="str">
        <x:v>month</x:v>
      </x:c>
      <x:c r="G229" s="46"/>
      <x:c r="H229" s="46" t="str"/>
      <x:c r="I229" s="47" t="b">
        <x:v>0</x:v>
      </x:c>
      <x:c r="J229" s="46" t="str">
        <x:v>medium</x:v>
      </x:c>
      <x:c r="K229" s="53" t="str"/>
      <x:c r="L229" s="53" t="str"/>
      <x:c r="M229" s="46" t="str"/>
      <x:c r="N229" s="46" t="str"/>
      <x:c r="O229" s="46" t="str"/>
      <x:c r="P229" s="46" t="str">
        <x:v>אחזקה מונעת - עטיפות.xlsx</x:v>
      </x:c>
      <x:c r="Q229" s="46" t="str">
        <x:v>מסוע עילי עטיפות</x:v>
      </x:c>
      <x:c r="R229" s="46" t="n">
        <x:v>228</x:v>
      </x:c>
      <x:c r="S229" s="47" t="b">
        <x:v>1</x:v>
      </x:c>
    </x:row>
    <x:row r="230">
      <x:c r="A230" s="46" t="str">
        <x:v>PM-00227</x:v>
      </x:c>
      <x:c r="B230" s="46" t="str">
        <x:v>גירוז מיסבים במעלית בונדר</x:v>
      </x:c>
      <x:c r="C230" s="46" t="str">
        <x:v>גירוז מיסבים במעלית בונדר</x:v>
      </x:c>
      <x:c r="D230" s="46" t="str">
        <x:v>maintenance</x:v>
      </x:c>
      <x:c r="E230" s="46" t="n">
        <x:v>1</x:v>
      </x:c>
      <x:c r="F230" s="46" t="str">
        <x:v>month</x:v>
      </x:c>
      <x:c r="G230" s="46"/>
      <x:c r="H230" s="46" t="str"/>
      <x:c r="I230" s="47" t="b">
        <x:v>0</x:v>
      </x:c>
      <x:c r="J230" s="46" t="str">
        <x:v>medium</x:v>
      </x:c>
      <x:c r="K230" s="53" t="str"/>
      <x:c r="L230" s="53" t="str"/>
      <x:c r="M230" s="46" t="str"/>
      <x:c r="N230" s="46" t="str"/>
      <x:c r="O230" s="46" t="str"/>
      <x:c r="P230" s="46" t="str">
        <x:v>אחזקה מונעת - עטיפות.xlsx</x:v>
      </x:c>
      <x:c r="Q230" s="46" t="str">
        <x:v>מסוע עילי עטיפות</x:v>
      </x:c>
      <x:c r="R230" s="46" t="n">
        <x:v>229</x:v>
      </x:c>
      <x:c r="S230" s="47" t="b">
        <x:v>1</x:v>
      </x:c>
    </x:row>
    <x:row r="231">
      <x:c r="A231" s="46" t="str">
        <x:v>PM-00228</x:v>
      </x:c>
      <x:c r="B231" s="46" t="str">
        <x:v>ריסוס ספריי רצועות על הרצועות הנעה</x:v>
      </x:c>
      <x:c r="C231" s="46" t="str">
        <x:v>ריסוס ספריי רצועות על הרצועות הנעה</x:v>
      </x:c>
      <x:c r="D231" s="46" t="str">
        <x:v>maintenance</x:v>
      </x:c>
      <x:c r="E231" s="46" t="n">
        <x:v>1</x:v>
      </x:c>
      <x:c r="F231" s="46" t="str">
        <x:v>month</x:v>
      </x:c>
      <x:c r="G231" s="46"/>
      <x:c r="H231" s="46" t="str"/>
      <x:c r="I231" s="47" t="b">
        <x:v>0</x:v>
      </x:c>
      <x:c r="J231" s="46" t="str">
        <x:v>medium</x:v>
      </x:c>
      <x:c r="K231" s="53" t="str"/>
      <x:c r="L231" s="53" t="str"/>
      <x:c r="M231" s="46" t="str"/>
      <x:c r="N231" s="46" t="str"/>
      <x:c r="O231" s="46" t="str"/>
      <x:c r="P231" s="46" t="str">
        <x:v>אחזקה מונעת - עטיפות.xlsx</x:v>
      </x:c>
      <x:c r="Q231" s="46" t="str">
        <x:v>מסוע עילי עטיפות</x:v>
      </x:c>
      <x:c r="R231" s="46" t="n">
        <x:v>230</x:v>
      </x:c>
      <x:c r="S231" s="47" t="b">
        <x:v>1</x:v>
      </x:c>
    </x:row>
    <x:row r="232">
      <x:c r="A232" s="46" t="str">
        <x:v>PM-00229</x:v>
      </x:c>
      <x:c r="B232" s="46" t="str">
        <x:v>בדיקת נזילות אויר</x:v>
      </x:c>
      <x:c r="C232" s="46" t="str">
        <x:v>בדיקת נזילות אויר</x:v>
      </x:c>
      <x:c r="D232" s="46" t="str">
        <x:v>maintenance</x:v>
      </x:c>
      <x:c r="E232" s="46" t="n">
        <x:v>1</x:v>
      </x:c>
      <x:c r="F232" s="46" t="str">
        <x:v>month</x:v>
      </x:c>
      <x:c r="G232" s="46"/>
      <x:c r="H232" s="46" t="str"/>
      <x:c r="I232" s="47" t="b">
        <x:v>0</x:v>
      </x:c>
      <x:c r="J232" s="46" t="str">
        <x:v>medium</x:v>
      </x:c>
      <x:c r="K232" s="53" t="str"/>
      <x:c r="L232" s="53" t="str"/>
      <x:c r="M232" s="46" t="str"/>
      <x:c r="N232" s="46" t="str"/>
      <x:c r="O232" s="46" t="str"/>
      <x:c r="P232" s="46" t="str">
        <x:v>אחזקה מונעת - עטיפות.xlsx</x:v>
      </x:c>
      <x:c r="Q232" s="46" t="str">
        <x:v>מסוע עילי עטיפות</x:v>
      </x:c>
      <x:c r="R232" s="46" t="n">
        <x:v>231</x:v>
      </x:c>
      <x:c r="S232" s="47" t="b">
        <x:v>1</x:v>
      </x:c>
    </x:row>
    <x:row r="233">
      <x:c r="A233" s="46" t="str">
        <x:v>PM-00230</x:v>
      </x:c>
      <x:c r="B233" s="46" t="str">
        <x:v>בדיקת קונסטרוקציה לתקינות</x:v>
      </x:c>
      <x:c r="C233" s="46" t="str">
        <x:v>בדיקת קונסטרוקציה לתקינות</x:v>
      </x:c>
      <x:c r="D233" s="46" t="str">
        <x:v>maintenance</x:v>
      </x:c>
      <x:c r="E233" s="46" t="n">
        <x:v>1</x:v>
      </x:c>
      <x:c r="F233" s="46" t="str">
        <x:v>month</x:v>
      </x:c>
      <x:c r="G233" s="46"/>
      <x:c r="H233" s="46" t="str"/>
      <x:c r="I233" s="47" t="b">
        <x:v>0</x:v>
      </x:c>
      <x:c r="J233" s="46" t="str">
        <x:v>medium</x:v>
      </x:c>
      <x:c r="K233" s="53" t="str"/>
      <x:c r="L233" s="53" t="str"/>
      <x:c r="M233" s="46" t="str"/>
      <x:c r="N233" s="46" t="str"/>
      <x:c r="O233" s="46" t="str"/>
      <x:c r="P233" s="46" t="str">
        <x:v>אחזקה מונעת - עטיפות.xlsx</x:v>
      </x:c>
      <x:c r="Q233" s="46" t="str">
        <x:v>מסוע עילי עטיפות</x:v>
      </x:c>
      <x:c r="R233" s="46" t="n">
        <x:v>232</x:v>
      </x:c>
      <x:c r="S233" s="47" t="b">
        <x:v>1</x:v>
      </x:c>
    </x:row>
    <x:row r="234">
      <x:c r="A234" s="46" t="str">
        <x:v>PM-00231</x:v>
      </x:c>
      <x:c r="B234" s="46" t="str">
        <x:v>בדיקת גירים ומנועים לרעשים חריגים</x:v>
      </x:c>
      <x:c r="C234" s="46" t="str">
        <x:v>בדיקת גירים ומנועים לרעשים חריגים</x:v>
      </x:c>
      <x:c r="D234" s="46" t="str">
        <x:v>maintenance</x:v>
      </x:c>
      <x:c r="E234" s="46" t="n">
        <x:v>1</x:v>
      </x:c>
      <x:c r="F234" s="46" t="str">
        <x:v>month</x:v>
      </x:c>
      <x:c r="G234" s="46"/>
      <x:c r="H234" s="46" t="str"/>
      <x:c r="I234" s="47" t="b">
        <x:v>0</x:v>
      </x:c>
      <x:c r="J234" s="46" t="str">
        <x:v>medium</x:v>
      </x:c>
      <x:c r="K234" s="53" t="str"/>
      <x:c r="L234" s="53" t="str"/>
      <x:c r="M234" s="46" t="str"/>
      <x:c r="N234" s="46" t="str"/>
      <x:c r="O234" s="46" t="str"/>
      <x:c r="P234" s="46" t="str">
        <x:v>אחזקה מונעת - עטיפות.xlsx</x:v>
      </x:c>
      <x:c r="Q234" s="46" t="str">
        <x:v>מסוע עילי עטיפות</x:v>
      </x:c>
      <x:c r="R234" s="46" t="n">
        <x:v>233</x:v>
      </x:c>
      <x:c r="S234" s="47" t="b">
        <x:v>1</x:v>
      </x:c>
    </x:row>
    <x:row r="235">
      <x:c r="A235" s="46" t="str">
        <x:v>PM-00232</x:v>
      </x:c>
      <x:c r="B235" s="46" t="str">
        <x:v>בדיקה וחיזוק ברגים משוחררים</x:v>
      </x:c>
      <x:c r="C235" s="46" t="str">
        <x:v>בדיקה וחיזוק ברגים משוחררים</x:v>
      </x:c>
      <x:c r="D235" s="46" t="str">
        <x:v>maintenance</x:v>
      </x:c>
      <x:c r="E235" s="46" t="n">
        <x:v>1</x:v>
      </x:c>
      <x:c r="F235" s="46" t="str">
        <x:v>month</x:v>
      </x:c>
      <x:c r="G235" s="46"/>
      <x:c r="H235" s="46" t="str"/>
      <x:c r="I235" s="47" t="b">
        <x:v>0</x:v>
      </x:c>
      <x:c r="J235" s="46" t="str">
        <x:v>medium</x:v>
      </x:c>
      <x:c r="K235" s="53" t="str"/>
      <x:c r="L235" s="53" t="str"/>
      <x:c r="M235" s="46" t="str"/>
      <x:c r="N235" s="46" t="str"/>
      <x:c r="O235" s="46" t="str"/>
      <x:c r="P235" s="46" t="str">
        <x:v>אחזקה מונעת - עטיפות.xlsx</x:v>
      </x:c>
      <x:c r="Q235" s="46" t="str">
        <x:v>מסוע עילי עטיפות</x:v>
      </x:c>
      <x:c r="R235" s="46" t="n">
        <x:v>234</x:v>
      </x:c>
      <x:c r="S235" s="47" t="b">
        <x:v>1</x:v>
      </x:c>
    </x:row>
    <x:row r="236">
      <x:c r="A236" s="46" t="str">
        <x:v>PM-00233</x:v>
      </x:c>
      <x:c r="B236" s="46" t="str">
        <x:v>בדיקת נזילות אויר</x:v>
      </x:c>
      <x:c r="C236" s="46" t="str">
        <x:v>בדיקת נזילות אויר</x:v>
      </x:c>
      <x:c r="D236" s="46" t="str">
        <x:v>maintenance</x:v>
      </x:c>
      <x:c r="E236" s="46" t="n">
        <x:v>1</x:v>
      </x:c>
      <x:c r="F236" s="46" t="str">
        <x:v>month</x:v>
      </x:c>
      <x:c r="G236" s="46"/>
      <x:c r="H236" s="46" t="str"/>
      <x:c r="I236" s="47" t="b">
        <x:v>0</x:v>
      </x:c>
      <x:c r="J236" s="46" t="str">
        <x:v>medium</x:v>
      </x:c>
      <x:c r="K236" s="53" t="str"/>
      <x:c r="L236" s="53" t="str"/>
      <x:c r="M236" s="46" t="str"/>
      <x:c r="N236" s="46" t="str"/>
      <x:c r="O236" s="46" t="str"/>
      <x:c r="P236" s="46" t="str">
        <x:v>אחזקה מונעת - עטיפות.xlsx</x:v>
      </x:c>
      <x:c r="Q236" s="46" t="str">
        <x:v>מסוע עילי עטיפות</x:v>
      </x:c>
      <x:c r="R236" s="46" t="n">
        <x:v>235</x:v>
      </x:c>
      <x:c r="S236" s="47" t="b">
        <x:v>1</x:v>
      </x:c>
    </x:row>
    <x:row r="237">
      <x:c r="A237" s="46" t="str">
        <x:v>PM-00234</x:v>
      </x:c>
      <x:c r="B237" s="46" t="str">
        <x:v>בדיקת רצועות הנעה לתקינות</x:v>
      </x:c>
      <x:c r="C237" s="46" t="str">
        <x:v>בדיקת רצועות הנעה לתקינות</x:v>
      </x:c>
      <x:c r="D237" s="46" t="str">
        <x:v>maintenance</x:v>
      </x:c>
      <x:c r="E237" s="46" t="n">
        <x:v>1</x:v>
      </x:c>
      <x:c r="F237" s="46" t="str">
        <x:v>month</x:v>
      </x:c>
      <x:c r="G237" s="46"/>
      <x:c r="H237" s="46" t="str"/>
      <x:c r="I237" s="47" t="b">
        <x:v>0</x:v>
      </x:c>
      <x:c r="J237" s="46" t="str">
        <x:v>medium</x:v>
      </x:c>
      <x:c r="K237" s="53" t="str"/>
      <x:c r="L237" s="53" t="str"/>
      <x:c r="M237" s="46" t="str"/>
      <x:c r="N237" s="46" t="str"/>
      <x:c r="O237" s="46" t="str"/>
      <x:c r="P237" s="46" t="str">
        <x:v>אחזקה מונעת - עטיפות.xlsx</x:v>
      </x:c>
      <x:c r="Q237" s="46" t="str">
        <x:v>מסוע עילי עטיפות</x:v>
      </x:c>
      <x:c r="R237" s="46" t="n">
        <x:v>236</x:v>
      </x:c>
      <x:c r="S237" s="47" t="b">
        <x:v>1</x:v>
      </x:c>
    </x:row>
    <x:row r="238">
      <x:c r="A238" s="46" t="str">
        <x:v>PM-00235</x:v>
      </x:c>
      <x:c r="B238" s="46" t="str">
        <x:v>בדיקת תקינות הגיר והמנוע</x:v>
      </x:c>
      <x:c r="C238" s="46" t="str">
        <x:v>בדיקת תקינות הגיר והמנוע</x:v>
      </x:c>
      <x:c r="D238" s="46" t="str">
        <x:v>maintenance</x:v>
      </x:c>
      <x:c r="E238" s="46" t="n">
        <x:v>1</x:v>
      </x:c>
      <x:c r="F238" s="46" t="str">
        <x:v>half_year</x:v>
      </x:c>
      <x:c r="G238" s="46"/>
      <x:c r="H238" s="46" t="str"/>
      <x:c r="I238" s="47" t="b">
        <x:v>0</x:v>
      </x:c>
      <x:c r="J238" s="46" t="str">
        <x:v>medium</x:v>
      </x:c>
      <x:c r="K238" s="53" t="str"/>
      <x:c r="L238" s="53" t="str"/>
      <x:c r="M238" s="46" t="str"/>
      <x:c r="N238" s="46" t="str"/>
      <x:c r="O238" s="46" t="str"/>
      <x:c r="P238" s="46" t="str">
        <x:v>אחזקה מונעת - עטיפות.xlsx</x:v>
      </x:c>
      <x:c r="Q238" s="46" t="str">
        <x:v>מסוע עילי עטיפות</x:v>
      </x:c>
      <x:c r="R238" s="46" t="n">
        <x:v>237</x:v>
      </x:c>
      <x:c r="S238" s="47" t="b">
        <x:v>1</x:v>
      </x:c>
    </x:row>
    <x:row r="239">
      <x:c r="A239" s="46" t="str">
        <x:v>PM-00236</x:v>
      </x:c>
      <x:c r="B239" s="46" t="str">
        <x:v>בדיקת מצב המעלית בשילוב עם מסוע העלי כשהיא כלפי מעלה</x:v>
      </x:c>
      <x:c r="C239" s="46" t="str">
        <x:v>בדיקת מצב המעלית בשילוב עם מסוע העלי כשהיא כלפי מעלה</x:v>
      </x:c>
      <x:c r="D239" s="46" t="str">
        <x:v>maintenance</x:v>
      </x:c>
      <x:c r="E239" s="46" t="n">
        <x:v>1</x:v>
      </x:c>
      <x:c r="F239" s="46" t="str">
        <x:v>half_year</x:v>
      </x:c>
      <x:c r="G239" s="46"/>
      <x:c r="H239" s="46" t="str"/>
      <x:c r="I239" s="47" t="b">
        <x:v>0</x:v>
      </x:c>
      <x:c r="J239" s="46" t="str">
        <x:v>medium</x:v>
      </x:c>
      <x:c r="K239" s="53" t="str"/>
      <x:c r="L239" s="53" t="str"/>
      <x:c r="M239" s="46" t="str"/>
      <x:c r="N239" s="46" t="str"/>
      <x:c r="O239" s="46" t="str"/>
      <x:c r="P239" s="46" t="str">
        <x:v>אחזקה מונעת - עטיפות.xlsx</x:v>
      </x:c>
      <x:c r="Q239" s="46" t="str">
        <x:v>מסוע עילי עטיפות</x:v>
      </x:c>
      <x:c r="R239" s="46" t="n">
        <x:v>238</x:v>
      </x:c>
      <x:c r="S239" s="47" t="b">
        <x:v>1</x:v>
      </x:c>
    </x:row>
    <x:row r="240">
      <x:c r="A240" s="46" t="str">
        <x:v>PM-00237</x:v>
      </x:c>
      <x:c r="B240" s="46" t="str">
        <x:v>בדיקת שמן בגירים</x:v>
      </x:c>
      <x:c r="C240" s="46" t="str">
        <x:v>בדיקת שמן בגירים</x:v>
      </x:c>
      <x:c r="D240" s="46" t="str">
        <x:v>maintenance</x:v>
      </x:c>
      <x:c r="E240" s="46" t="n">
        <x:v>1</x:v>
      </x:c>
      <x:c r="F240" s="46" t="str">
        <x:v>half_year</x:v>
      </x:c>
      <x:c r="G240" s="46"/>
      <x:c r="H240" s="46" t="str"/>
      <x:c r="I240" s="47" t="b">
        <x:v>0</x:v>
      </x:c>
      <x:c r="J240" s="46" t="str">
        <x:v>medium</x:v>
      </x:c>
      <x:c r="K240" s="53" t="str"/>
      <x:c r="L240" s="53" t="str"/>
      <x:c r="M240" s="46" t="str"/>
      <x:c r="N240" s="46" t="str"/>
      <x:c r="O240" s="46" t="str"/>
      <x:c r="P240" s="46" t="str">
        <x:v>אחזקה מונעת - עטיפות.xlsx</x:v>
      </x:c>
      <x:c r="Q240" s="46" t="str">
        <x:v>מסוע עילי עטיפות</x:v>
      </x:c>
      <x:c r="R240" s="46" t="n">
        <x:v>239</x:v>
      </x:c>
      <x:c r="S240" s="47" t="b">
        <x:v>1</x:v>
      </x:c>
    </x:row>
    <x:row r="241">
      <x:c r="A241" s="46" t="str">
        <x:v>PM-00238</x:v>
      </x:c>
      <x:c r="B241" s="46" t="str">
        <x:v>בדיקת אביזרי חשמל לתקינות (כולל כבלים ומחברים)</x:v>
      </x:c>
      <x:c r="C241" s="46" t="str">
        <x:v>בדיקת אביזרי חשמל לתקינות (כולל כבלים ומחברים)</x:v>
      </x:c>
      <x:c r="D241" s="46" t="str">
        <x:v>maintenance</x:v>
      </x:c>
      <x:c r="E241" s="46" t="n">
        <x:v>1</x:v>
      </x:c>
      <x:c r="F241" s="46" t="str">
        <x:v>month</x:v>
      </x:c>
      <x:c r="G241" s="46"/>
      <x:c r="H241" s="46" t="str"/>
      <x:c r="I241" s="47" t="b">
        <x:v>0</x:v>
      </x:c>
      <x:c r="J241" s="46" t="str">
        <x:v>medium</x:v>
      </x:c>
      <x:c r="K241" s="53" t="str"/>
      <x:c r="L241" s="53" t="str"/>
      <x:c r="M241" s="46" t="str"/>
      <x:c r="N241" s="46" t="str"/>
      <x:c r="O241" s="46" t="str"/>
      <x:c r="P241" s="46" t="str">
        <x:v>אחזקה מונעת - עטיפות.xlsx</x:v>
      </x:c>
      <x:c r="Q241" s="46" t="str">
        <x:v>מסוע עילי עטיפות</x:v>
      </x:c>
      <x:c r="R241" s="46" t="n">
        <x:v>240</x:v>
      </x:c>
      <x:c r="S241" s="47" t="b">
        <x:v>1</x:v>
      </x:c>
    </x:row>
    <x:row r="242">
      <x:c r="A242" s="46" t="str">
        <x:v>PM-00239</x:v>
      </x:c>
      <x:c r="B242" s="46" t="str">
        <x:v>בדיקה וניקוי ארון חשמל ע"י אויר</x:v>
      </x:c>
      <x:c r="C242" s="46" t="str">
        <x:v>בדיקה וניקוי ארון חשמל ע"י אויר</x:v>
      </x:c>
      <x:c r="D242" s="46" t="str">
        <x:v>maintenance</x:v>
      </x:c>
      <x:c r="E242" s="46" t="n">
        <x:v>1</x:v>
      </x:c>
      <x:c r="F242" s="46" t="str">
        <x:v>month</x:v>
      </x:c>
      <x:c r="G242" s="46"/>
      <x:c r="H242" s="46" t="str"/>
      <x:c r="I242" s="47" t="b">
        <x:v>0</x:v>
      </x:c>
      <x:c r="J242" s="46" t="str">
        <x:v>medium</x:v>
      </x:c>
      <x:c r="K242" s="53" t="str"/>
      <x:c r="L242" s="53" t="str"/>
      <x:c r="M242" s="46" t="str"/>
      <x:c r="N242" s="46" t="str"/>
      <x:c r="O242" s="46" t="str"/>
      <x:c r="P242" s="46" t="str">
        <x:v>אחזקה מונעת - עטיפות.xlsx</x:v>
      </x:c>
      <x:c r="Q242" s="46" t="str">
        <x:v>מסוע עילי עטיפות</x:v>
      </x:c>
      <x:c r="R242" s="46" t="n">
        <x:v>241</x:v>
      </x:c>
      <x:c r="S242" s="47" t="b">
        <x:v>1</x:v>
      </x:c>
    </x:row>
    <x:row r="243">
      <x:c r="A243" s="46" t="str">
        <x:v>PM-00240</x:v>
      </x:c>
      <x:c r="B243" s="46" t="str">
        <x:v>בדיקת ברזים באמבתיות במצב סגור ולא נוזל</x:v>
      </x:c>
      <x:c r="C243" s="46" t="str">
        <x:v>בדיקת ברזים באמבתיות במצב סגור ולא נוזל</x:v>
      </x:c>
      <x:c r="D243" s="46" t="str">
        <x:v>operator_monitoring</x:v>
      </x:c>
      <x:c r="E243" s="46" t="n">
        <x:v>1</x:v>
      </x:c>
      <x:c r="F243" s="46" t="str">
        <x:v>week</x:v>
      </x:c>
      <x:c r="G243" s="46"/>
      <x:c r="H243" s="46" t="str"/>
      <x:c r="I243" s="47" t="b">
        <x:v>0</x:v>
      </x:c>
      <x:c r="J243" s="46" t="str">
        <x:v>medium</x:v>
      </x:c>
      <x:c r="K243" s="53" t="str"/>
      <x:c r="L243" s="53" t="str"/>
      <x:c r="M243" s="46" t="str"/>
      <x:c r="N243" s="46" t="str"/>
      <x:c r="O243" s="46" t="str"/>
      <x:c r="P243" s="46" t="str">
        <x:v>אחזקה מונעת - עטיפות.xlsx</x:v>
      </x:c>
      <x:c r="Q243" s="46" t="str">
        <x:v>בונדר עטיפות</x:v>
      </x:c>
      <x:c r="R243" s="46" t="n">
        <x:v>242</x:v>
      </x:c>
      <x:c r="S243" s="47" t="b">
        <x:v>1</x:v>
      </x:c>
    </x:row>
    <x:row r="244">
      <x:c r="A244" s="46" t="str">
        <x:v>PM-00241</x:v>
      </x:c>
      <x:c r="B244" s="46" t="str">
        <x:v>בדיקת אמבטיית יבוש מהימצאות גופים זרים</x:v>
      </x:c>
      <x:c r="C244" s="46" t="str">
        <x:v>בדיקת אמבטיית יבוש מהימצאות גופים זרים</x:v>
      </x:c>
      <x:c r="D244" s="46" t="str">
        <x:v>operator_monitoring</x:v>
      </x:c>
      <x:c r="E244" s="46" t="n">
        <x:v>1</x:v>
      </x:c>
      <x:c r="F244" s="46" t="str">
        <x:v>week</x:v>
      </x:c>
      <x:c r="G244" s="46"/>
      <x:c r="H244" s="46" t="str"/>
      <x:c r="I244" s="47" t="b">
        <x:v>0</x:v>
      </x:c>
      <x:c r="J244" s="46" t="str">
        <x:v>medium</x:v>
      </x:c>
      <x:c r="K244" s="53" t="str"/>
      <x:c r="L244" s="53" t="str"/>
      <x:c r="M244" s="46" t="str"/>
      <x:c r="N244" s="46" t="str"/>
      <x:c r="O244" s="46" t="str"/>
      <x:c r="P244" s="46" t="str">
        <x:v>אחזקה מונעת - עטיפות.xlsx</x:v>
      </x:c>
      <x:c r="Q244" s="46" t="str">
        <x:v>בונדר עטיפות</x:v>
      </x:c>
      <x:c r="R244" s="46" t="n">
        <x:v>243</x:v>
      </x:c>
      <x:c r="S244" s="47" t="b">
        <x:v>1</x:v>
      </x:c>
    </x:row>
    <x:row r="245">
      <x:c r="A245" s="46" t="str">
        <x:v>PM-00242</x:v>
      </x:c>
      <x:c r="B245" s="46" t="str">
        <x:v>ניקוי מעצרה</x:v>
      </x:c>
      <x:c r="C245" s="46" t="str">
        <x:v>ניקוי מעצרה</x:v>
      </x:c>
      <x:c r="D245" s="46" t="str">
        <x:v>operator_monitoring</x:v>
      </x:c>
      <x:c r="E245" s="46" t="n">
        <x:v>1</x:v>
      </x:c>
      <x:c r="F245" s="46" t="str">
        <x:v>week</x:v>
      </x:c>
      <x:c r="G245" s="46"/>
      <x:c r="H245" s="46" t="str"/>
      <x:c r="I245" s="47" t="b">
        <x:v>0</x:v>
      </x:c>
      <x:c r="J245" s="46" t="str">
        <x:v>medium</x:v>
      </x:c>
      <x:c r="K245" s="53" t="str"/>
      <x:c r="L245" s="53" t="str"/>
      <x:c r="M245" s="46" t="str"/>
      <x:c r="N245" s="46" t="str"/>
      <x:c r="O245" s="46" t="str"/>
      <x:c r="P245" s="46" t="str">
        <x:v>אחזקה מונעת - עטיפות.xlsx</x:v>
      </x:c>
      <x:c r="Q245" s="46" t="str">
        <x:v>בונדר עטיפות</x:v>
      </x:c>
      <x:c r="R245" s="46" t="n">
        <x:v>244</x:v>
      </x:c>
      <x:c r="S245" s="47" t="b">
        <x:v>1</x:v>
      </x:c>
    </x:row>
    <x:row r="246">
      <x:c r="A246" s="46" t="str">
        <x:v>PM-00243</x:v>
      </x:c>
      <x:c r="B246" s="46" t="str">
        <x:v>בדיקת אמבטיות לנזילות</x:v>
      </x:c>
      <x:c r="C246" s="46" t="str">
        <x:v>בדיקת אמבטיות לנזילות</x:v>
      </x:c>
      <x:c r="D246" s="46" t="str">
        <x:v>operator_monitoring</x:v>
      </x:c>
      <x:c r="E246" s="46" t="n">
        <x:v>1</x:v>
      </x:c>
      <x:c r="F246" s="46" t="str">
        <x:v>week</x:v>
      </x:c>
      <x:c r="G246" s="46"/>
      <x:c r="H246" s="46" t="str"/>
      <x:c r="I246" s="47" t="b">
        <x:v>0</x:v>
      </x:c>
      <x:c r="J246" s="46" t="str">
        <x:v>medium</x:v>
      </x:c>
      <x:c r="K246" s="53" t="str"/>
      <x:c r="L246" s="53" t="str"/>
      <x:c r="M246" s="46" t="str"/>
      <x:c r="N246" s="46" t="str"/>
      <x:c r="O246" s="46" t="str"/>
      <x:c r="P246" s="46" t="str">
        <x:v>אחזקה מונעת - עטיפות.xlsx</x:v>
      </x:c>
      <x:c r="Q246" s="46" t="str">
        <x:v>בונדר עטיפות</x:v>
      </x:c>
      <x:c r="R246" s="46" t="n">
        <x:v>245</x:v>
      </x:c>
      <x:c r="S246" s="47" t="b">
        <x:v>1</x:v>
      </x:c>
    </x:row>
    <x:row r="247">
      <x:c r="A247" s="46" t="str">
        <x:v>PM-00244</x:v>
      </x:c>
      <x:c r="B247" s="46" t="str">
        <x:v>בדיקת מנוע לרעשים חריגים</x:v>
      </x:c>
      <x:c r="C247" s="46" t="str">
        <x:v>בדיקת מנוע לרעשים חריגים</x:v>
      </x:c>
      <x:c r="D247" s="46" t="str">
        <x:v>maintenance</x:v>
      </x:c>
      <x:c r="E247" s="46" t="n">
        <x:v>1</x:v>
      </x:c>
      <x:c r="F247" s="46" t="str">
        <x:v>month</x:v>
      </x:c>
      <x:c r="G247" s="46"/>
      <x:c r="H247" s="46" t="str"/>
      <x:c r="I247" s="47" t="b">
        <x:v>0</x:v>
      </x:c>
      <x:c r="J247" s="46" t="str">
        <x:v>medium</x:v>
      </x:c>
      <x:c r="K247" s="53" t="str"/>
      <x:c r="L247" s="53" t="str"/>
      <x:c r="M247" s="46" t="str"/>
      <x:c r="N247" s="46" t="str"/>
      <x:c r="O247" s="46" t="str"/>
      <x:c r="P247" s="46" t="str">
        <x:v>אחזקה מונעת - עטיפות.xlsx</x:v>
      </x:c>
      <x:c r="Q247" s="46" t="str">
        <x:v>בונדר עטיפות</x:v>
      </x:c>
      <x:c r="R247" s="46" t="n">
        <x:v>246</x:v>
      </x:c>
      <x:c r="S247" s="47" t="b">
        <x:v>1</x:v>
      </x:c>
    </x:row>
    <x:row r="248">
      <x:c r="A248" s="46" t="str">
        <x:v>PM-00245</x:v>
      </x:c>
      <x:c r="B248" s="46" t="str">
        <x:v>ריסוס ספריי רצועות על הרצועות הנעה</x:v>
      </x:c>
      <x:c r="C248" s="46" t="str">
        <x:v>ריסוס ספריי רצועות על הרצועות הנעה</x:v>
      </x:c>
      <x:c r="D248" s="46" t="str">
        <x:v>maintenance</x:v>
      </x:c>
      <x:c r="E248" s="46" t="n">
        <x:v>1</x:v>
      </x:c>
      <x:c r="F248" s="46" t="str">
        <x:v>month</x:v>
      </x:c>
      <x:c r="G248" s="46"/>
      <x:c r="H248" s="46" t="str"/>
      <x:c r="I248" s="47" t="b">
        <x:v>0</x:v>
      </x:c>
      <x:c r="J248" s="46" t="str">
        <x:v>medium</x:v>
      </x:c>
      <x:c r="K248" s="53" t="str"/>
      <x:c r="L248" s="53" t="str"/>
      <x:c r="M248" s="46" t="str"/>
      <x:c r="N248" s="46" t="str"/>
      <x:c r="O248" s="46" t="str"/>
      <x:c r="P248" s="46" t="str">
        <x:v>אחזקה מונעת - עטיפות.xlsx</x:v>
      </x:c>
      <x:c r="Q248" s="46" t="str">
        <x:v>בונדר עטיפות</x:v>
      </x:c>
      <x:c r="R248" s="46" t="n">
        <x:v>247</x:v>
      </x:c>
      <x:c r="S248" s="47" t="b">
        <x:v>1</x:v>
      </x:c>
    </x:row>
    <x:row r="249">
      <x:c r="A249" s="46" t="str">
        <x:v>PM-00246</x:v>
      </x:c>
      <x:c r="B249" s="46" t="str">
        <x:v>בדיקת רצועות הנעה לתקינות</x:v>
      </x:c>
      <x:c r="C249" s="46" t="str">
        <x:v>בדיקת רצועות הנעה לתקינות</x:v>
      </x:c>
      <x:c r="D249" s="46" t="str">
        <x:v>maintenance</x:v>
      </x:c>
      <x:c r="E249" s="46" t="n">
        <x:v>1</x:v>
      </x:c>
      <x:c r="F249" s="46" t="str">
        <x:v>month</x:v>
      </x:c>
      <x:c r="G249" s="46"/>
      <x:c r="H249" s="46" t="str"/>
      <x:c r="I249" s="47" t="b">
        <x:v>0</x:v>
      </x:c>
      <x:c r="J249" s="46" t="str">
        <x:v>medium</x:v>
      </x:c>
      <x:c r="K249" s="53" t="str"/>
      <x:c r="L249" s="53" t="str"/>
      <x:c r="M249" s="46" t="str"/>
      <x:c r="N249" s="46" t="str"/>
      <x:c r="O249" s="46" t="str"/>
      <x:c r="P249" s="46" t="str">
        <x:v>אחזקה מונעת - עטיפות.xlsx</x:v>
      </x:c>
      <x:c r="Q249" s="46" t="str">
        <x:v>בונדר עטיפות</x:v>
      </x:c>
      <x:c r="R249" s="46" t="n">
        <x:v>248</x:v>
      </x:c>
      <x:c r="S249" s="47" t="b">
        <x:v>1</x:v>
      </x:c>
    </x:row>
    <x:row r="250">
      <x:c r="A250" s="46" t="str">
        <x:v>PM-00247</x:v>
      </x:c>
      <x:c r="B250" s="46" t="str">
        <x:v>בדיקת אביזרי חשמל לתקינות (כולל כבלים ומחברים)</x:v>
      </x:c>
      <x:c r="C250" s="46" t="str">
        <x:v>בדיקת אביזרי חשמל לתקינות (כולל כבלים ומחברים)</x:v>
      </x:c>
      <x:c r="D250" s="46" t="str">
        <x:v>maintenance</x:v>
      </x:c>
      <x:c r="E250" s="46" t="n">
        <x:v>1</x:v>
      </x:c>
      <x:c r="F250" s="46" t="str">
        <x:v>month</x:v>
      </x:c>
      <x:c r="G250" s="46"/>
      <x:c r="H250" s="46" t="str"/>
      <x:c r="I250" s="47" t="b">
        <x:v>0</x:v>
      </x:c>
      <x:c r="J250" s="46" t="str">
        <x:v>medium</x:v>
      </x:c>
      <x:c r="K250" s="53" t="str"/>
      <x:c r="L250" s="53" t="str"/>
      <x:c r="M250" s="46" t="str"/>
      <x:c r="N250" s="46" t="str"/>
      <x:c r="O250" s="46" t="str"/>
      <x:c r="P250" s="46" t="str">
        <x:v>אחזקה מונעת - עטיפות.xlsx</x:v>
      </x:c>
      <x:c r="Q250" s="46" t="str">
        <x:v>בונדר עטיפות</x:v>
      </x:c>
      <x:c r="R250" s="46" t="n">
        <x:v>249</x:v>
      </x:c>
      <x:c r="S250" s="47" t="b">
        <x:v>1</x:v>
      </x:c>
    </x:row>
    <x:row r="251">
      <x:c r="A251" s="46" t="str">
        <x:v>PM-00248</x:v>
      </x:c>
      <x:c r="B251" s="46" t="str">
        <x:v>בדיקת גופי חימום לתקינות</x:v>
      </x:c>
      <x:c r="C251" s="46" t="str">
        <x:v>בדיקת גופי חימום לתקינות</x:v>
      </x:c>
      <x:c r="D251" s="46" t="str">
        <x:v>maintenance</x:v>
      </x:c>
      <x:c r="E251" s="46" t="n">
        <x:v>1</x:v>
      </x:c>
      <x:c r="F251" s="46" t="str">
        <x:v>half_year</x:v>
      </x:c>
      <x:c r="G251" s="46"/>
      <x:c r="H251" s="46" t="str"/>
      <x:c r="I251" s="47" t="b">
        <x:v>0</x:v>
      </x:c>
      <x:c r="J251" s="46" t="str">
        <x:v>medium</x:v>
      </x:c>
      <x:c r="K251" s="53" t="str"/>
      <x:c r="L251" s="53" t="str"/>
      <x:c r="M251" s="46" t="str"/>
      <x:c r="N251" s="46" t="str"/>
      <x:c r="O251" s="46" t="str"/>
      <x:c r="P251" s="46" t="str">
        <x:v>אחזקה מונעת - עטיפות.xlsx</x:v>
      </x:c>
      <x:c r="Q251" s="46" t="str">
        <x:v>בונדר עטיפות</x:v>
      </x:c>
      <x:c r="R251" s="46" t="n">
        <x:v>250</x:v>
      </x:c>
      <x:c r="S251" s="47" t="b">
        <x:v>1</x:v>
      </x:c>
    </x:row>
    <x:row r="252">
      <x:c r="A252" s="46" t="str">
        <x:v>PM-00249</x:v>
      </x:c>
      <x:c r="B252" s="46" t="str">
        <x:v>ניקוי בלחץ אויר</x:v>
      </x:c>
      <x:c r="C252" s="46" t="str">
        <x:v>ניקוי בלחץ אויר</x:v>
      </x:c>
      <x:c r="D252" s="46" t="str">
        <x:v>operator_monitoring</x:v>
      </x:c>
      <x:c r="E252" s="46" t="n">
        <x:v>1</x:v>
      </x:c>
      <x:c r="F252" s="46" t="str">
        <x:v>day</x:v>
      </x:c>
      <x:c r="G252" s="46"/>
      <x:c r="H252" s="46" t="str"/>
      <x:c r="I252" s="47" t="b">
        <x:v>0</x:v>
      </x:c>
      <x:c r="J252" s="46" t="str">
        <x:v>medium</x:v>
      </x:c>
      <x:c r="K252" s="53" t="str"/>
      <x:c r="L252" s="53" t="str"/>
      <x:c r="M252" s="46" t="str"/>
      <x:c r="N252" s="46" t="str"/>
      <x:c r="O252" s="46" t="str"/>
      <x:c r="P252" s="46" t="str">
        <x:v>אחזקה מונעת - עטיפות.xlsx</x:v>
      </x:c>
      <x:c r="Q252" s="46" t="str">
        <x:v>תא צבע עטיפות</x:v>
      </x:c>
      <x:c r="R252" s="46" t="n">
        <x:v>251</x:v>
      </x:c>
      <x:c r="S252" s="47" t="b">
        <x:v>1</x:v>
      </x:c>
    </x:row>
    <x:row r="253">
      <x:c r="A253" s="46" t="str">
        <x:v>PM-00250</x:v>
      </x:c>
      <x:c r="B253" s="46" t="str">
        <x:v>ניקוי בלחץ אויר</x:v>
      </x:c>
      <x:c r="C253" s="46" t="str">
        <x:v>ניקוי בלחץ אויר</x:v>
      </x:c>
      <x:c r="D253" s="46" t="str">
        <x:v>operator_monitoring</x:v>
      </x:c>
      <x:c r="E253" s="46" t="n">
        <x:v>1</x:v>
      </x:c>
      <x:c r="F253" s="46" t="str">
        <x:v>week</x:v>
      </x:c>
      <x:c r="G253" s="46"/>
      <x:c r="H253" s="46" t="str"/>
      <x:c r="I253" s="47" t="b">
        <x:v>0</x:v>
      </x:c>
      <x:c r="J253" s="46" t="str">
        <x:v>medium</x:v>
      </x:c>
      <x:c r="K253" s="53" t="str"/>
      <x:c r="L253" s="53" t="str"/>
      <x:c r="M253" s="46" t="str"/>
      <x:c r="N253" s="46" t="str"/>
      <x:c r="O253" s="46" t="str"/>
      <x:c r="P253" s="46" t="str">
        <x:v>אחזקה מונעת - עטיפות.xlsx</x:v>
      </x:c>
      <x:c r="Q253" s="46" t="str">
        <x:v>תא צבע עטיפות</x:v>
      </x:c>
      <x:c r="R253" s="46" t="n">
        <x:v>252</x:v>
      </x:c>
      <x:c r="S253" s="47" t="b">
        <x:v>1</x:v>
      </x:c>
    </x:row>
    <x:row r="254">
      <x:c r="A254" s="46" t="str">
        <x:v>PM-00251</x:v>
      </x:c>
      <x:c r="B254" s="46" t="str">
        <x:v>בדיקת מנוע לרעשים חריגים</x:v>
      </x:c>
      <x:c r="C254" s="46" t="str">
        <x:v>בדיקת מנוע לרעשים חריגים</x:v>
      </x:c>
      <x:c r="D254" s="46" t="str">
        <x:v>maintenance</x:v>
      </x:c>
      <x:c r="E254" s="46" t="n">
        <x:v>1</x:v>
      </x:c>
      <x:c r="F254" s="46" t="str">
        <x:v>month</x:v>
      </x:c>
      <x:c r="G254" s="46"/>
      <x:c r="H254" s="46" t="str"/>
      <x:c r="I254" s="47" t="b">
        <x:v>0</x:v>
      </x:c>
      <x:c r="J254" s="46" t="str">
        <x:v>medium</x:v>
      </x:c>
      <x:c r="K254" s="53" t="str"/>
      <x:c r="L254" s="53" t="str"/>
      <x:c r="M254" s="46" t="str"/>
      <x:c r="N254" s="46" t="str"/>
      <x:c r="O254" s="46" t="str"/>
      <x:c r="P254" s="46" t="str">
        <x:v>אחזקה מונעת - עטיפות.xlsx</x:v>
      </x:c>
      <x:c r="Q254" s="46" t="str">
        <x:v>תא צבע עטיפות</x:v>
      </x:c>
      <x:c r="R254" s="46" t="n">
        <x:v>253</x:v>
      </x:c>
      <x:c r="S254" s="47" t="b">
        <x:v>1</x:v>
      </x:c>
    </x:row>
    <x:row r="255">
      <x:c r="A255" s="46" t="str">
        <x:v>PM-00252</x:v>
      </x:c>
      <x:c r="B255" s="46" t="str">
        <x:v>בדיקת אביזרי חשמל לתקינות (כולל כבלים ומחברים)</x:v>
      </x:c>
      <x:c r="C255" s="46" t="str">
        <x:v>בדיקת אביזרי חשמל לתקינות (כולל כבלים ומחברים)</x:v>
      </x:c>
      <x:c r="D255" s="46" t="str">
        <x:v>maintenance</x:v>
      </x:c>
      <x:c r="E255" s="46" t="n">
        <x:v>1</x:v>
      </x:c>
      <x:c r="F255" s="46" t="str">
        <x:v>month</x:v>
      </x:c>
      <x:c r="G255" s="46"/>
      <x:c r="H255" s="46" t="str"/>
      <x:c r="I255" s="47" t="b">
        <x:v>0</x:v>
      </x:c>
      <x:c r="J255" s="46" t="str">
        <x:v>medium</x:v>
      </x:c>
      <x:c r="K255" s="53" t="str"/>
      <x:c r="L255" s="53" t="str"/>
      <x:c r="M255" s="46" t="str"/>
      <x:c r="N255" s="46" t="str"/>
      <x:c r="O255" s="46" t="str"/>
      <x:c r="P255" s="46" t="str">
        <x:v>אחזקה מונעת - עטיפות.xlsx</x:v>
      </x:c>
      <x:c r="Q255" s="46" t="str">
        <x:v>תא צבע עטיפות</x:v>
      </x:c>
      <x:c r="R255" s="46" t="n">
        <x:v>254</x:v>
      </x:c>
      <x:c r="S255" s="47" t="b">
        <x:v>1</x:v>
      </x:c>
    </x:row>
    <x:row r="256">
      <x:c r="A256" s="46" t="str">
        <x:v>PM-00253</x:v>
      </x:c>
      <x:c r="B256" s="46" t="str">
        <x:v>בדיקת ברזים באמבתיות במצב סגור ולא נוזל</x:v>
      </x:c>
      <x:c r="C256" s="46" t="str">
        <x:v>בדיקת ברזים באמבתיות במצב סגור ולא נוזל</x:v>
      </x:c>
      <x:c r="D256" s="46" t="str">
        <x:v>operator_monitoring</x:v>
      </x:c>
      <x:c r="E256" s="46" t="n">
        <x:v>1</x:v>
      </x:c>
      <x:c r="F256" s="46" t="str">
        <x:v>week</x:v>
      </x:c>
      <x:c r="G256" s="46"/>
      <x:c r="H256" s="46" t="str"/>
      <x:c r="I256" s="47" t="b">
        <x:v>0</x:v>
      </x:c>
      <x:c r="J256" s="46" t="str">
        <x:v>medium</x:v>
      </x:c>
      <x:c r="K256" s="53" t="str"/>
      <x:c r="L256" s="53" t="str"/>
      <x:c r="M256" s="46" t="str"/>
      <x:c r="N256" s="46" t="str"/>
      <x:c r="O256" s="46" t="str"/>
      <x:c r="P256" s="46" t="str">
        <x:v>אחזקה מונעת - עטיפות.xlsx</x:v>
      </x:c>
      <x:c r="Q256" s="46" t="str">
        <x:v>פילטר יניקת אבק</x:v>
      </x:c>
      <x:c r="R256" s="46" t="n">
        <x:v>255</x:v>
      </x:c>
      <x:c r="S256" s="47" t="b">
        <x:v>1</x:v>
      </x:c>
    </x:row>
    <x:row r="257">
      <x:c r="A257" s="46" t="str">
        <x:v>PM-00254</x:v>
      </x:c>
      <x:c r="B257" s="46" t="str">
        <x:v>בדיקת אמבטיית יבוש מהימצאות גופים זרים</x:v>
      </x:c>
      <x:c r="C257" s="46" t="str">
        <x:v>בדיקת אמבטיית יבוש מהימצאות גופים זרים</x:v>
      </x:c>
      <x:c r="D257" s="46" t="str">
        <x:v>operator_monitoring</x:v>
      </x:c>
      <x:c r="E257" s="46" t="n">
        <x:v>1</x:v>
      </x:c>
      <x:c r="F257" s="46" t="str">
        <x:v>week</x:v>
      </x:c>
      <x:c r="G257" s="46"/>
      <x:c r="H257" s="46" t="str"/>
      <x:c r="I257" s="47" t="b">
        <x:v>0</x:v>
      </x:c>
      <x:c r="J257" s="46" t="str">
        <x:v>medium</x:v>
      </x:c>
      <x:c r="K257" s="53" t="str"/>
      <x:c r="L257" s="53" t="str"/>
      <x:c r="M257" s="46" t="str"/>
      <x:c r="N257" s="46" t="str"/>
      <x:c r="O257" s="46" t="str"/>
      <x:c r="P257" s="46" t="str">
        <x:v>אחזקה מונעת - עטיפות.xlsx</x:v>
      </x:c>
      <x:c r="Q257" s="46" t="str">
        <x:v>פילטר יניקת אבק</x:v>
      </x:c>
      <x:c r="R257" s="46" t="n">
        <x:v>256</x:v>
      </x:c>
      <x:c r="S257" s="47" t="b">
        <x:v>1</x:v>
      </x:c>
    </x:row>
    <x:row r="258">
      <x:c r="A258" s="46" t="str">
        <x:v>PM-00255</x:v>
      </x:c>
      <x:c r="B258" s="46" t="str">
        <x:v>ניקוי מעצרה</x:v>
      </x:c>
      <x:c r="C258" s="46" t="str">
        <x:v>ניקוי מעצרה</x:v>
      </x:c>
      <x:c r="D258" s="46" t="str">
        <x:v>operator_monitoring</x:v>
      </x:c>
      <x:c r="E258" s="46" t="n">
        <x:v>1</x:v>
      </x:c>
      <x:c r="F258" s="46" t="str">
        <x:v>week</x:v>
      </x:c>
      <x:c r="G258" s="46"/>
      <x:c r="H258" s="46" t="str"/>
      <x:c r="I258" s="47" t="b">
        <x:v>0</x:v>
      </x:c>
      <x:c r="J258" s="46" t="str">
        <x:v>medium</x:v>
      </x:c>
      <x:c r="K258" s="53" t="str"/>
      <x:c r="L258" s="53" t="str"/>
      <x:c r="M258" s="46" t="str"/>
      <x:c r="N258" s="46" t="str"/>
      <x:c r="O258" s="46" t="str"/>
      <x:c r="P258" s="46" t="str">
        <x:v>אחזקה מונעת - עטיפות.xlsx</x:v>
      </x:c>
      <x:c r="Q258" s="46" t="str">
        <x:v>פילטר יניקת אבק</x:v>
      </x:c>
      <x:c r="R258" s="46" t="n">
        <x:v>257</x:v>
      </x:c>
      <x:c r="S258" s="47" t="b">
        <x:v>1</x:v>
      </x:c>
    </x:row>
    <x:row r="259">
      <x:c r="A259" s="46" t="str">
        <x:v>PM-00256</x:v>
      </x:c>
      <x:c r="B259" s="46" t="str">
        <x:v>בדיקת אמבטיות לנזילות</x:v>
      </x:c>
      <x:c r="C259" s="46" t="str">
        <x:v>בדיקת אמבטיות לנזילות</x:v>
      </x:c>
      <x:c r="D259" s="46" t="str">
        <x:v>operator_monitoring</x:v>
      </x:c>
      <x:c r="E259" s="46" t="n">
        <x:v>1</x:v>
      </x:c>
      <x:c r="F259" s="46" t="str">
        <x:v>week</x:v>
      </x:c>
      <x:c r="G259" s="46"/>
      <x:c r="H259" s="46" t="str"/>
      <x:c r="I259" s="47" t="b">
        <x:v>0</x:v>
      </x:c>
      <x:c r="J259" s="46" t="str">
        <x:v>medium</x:v>
      </x:c>
      <x:c r="K259" s="53" t="str"/>
      <x:c r="L259" s="53" t="str"/>
      <x:c r="M259" s="46" t="str"/>
      <x:c r="N259" s="46" t="str"/>
      <x:c r="O259" s="46" t="str"/>
      <x:c r="P259" s="46" t="str">
        <x:v>אחזקה מונעת - עטיפות.xlsx</x:v>
      </x:c>
      <x:c r="Q259" s="46" t="str">
        <x:v>פילטר יניקת אבק</x:v>
      </x:c>
      <x:c r="R259" s="46" t="n">
        <x:v>258</x:v>
      </x:c>
      <x:c r="S259" s="47" t="b">
        <x:v>1</x:v>
      </x:c>
    </x:row>
    <x:row r="260">
      <x:c r="A260" s="46" t="str">
        <x:v>PM-00257</x:v>
      </x:c>
      <x:c r="B260" s="46" t="str">
        <x:v>בדיקת מנוע לרעשים חריגים</x:v>
      </x:c>
      <x:c r="C260" s="46" t="str">
        <x:v>בדיקת מנוע לרעשים חריגים</x:v>
      </x:c>
      <x:c r="D260" s="46" t="str">
        <x:v>maintenance</x:v>
      </x:c>
      <x:c r="E260" s="46" t="n">
        <x:v>1</x:v>
      </x:c>
      <x:c r="F260" s="46" t="str">
        <x:v>month</x:v>
      </x:c>
      <x:c r="G260" s="46"/>
      <x:c r="H260" s="46" t="str"/>
      <x:c r="I260" s="47" t="b">
        <x:v>0</x:v>
      </x:c>
      <x:c r="J260" s="46" t="str">
        <x:v>medium</x:v>
      </x:c>
      <x:c r="K260" s="53" t="str"/>
      <x:c r="L260" s="53" t="str"/>
      <x:c r="M260" s="46" t="str"/>
      <x:c r="N260" s="46" t="str"/>
      <x:c r="O260" s="46" t="str"/>
      <x:c r="P260" s="46" t="str">
        <x:v>אחזקה מונעת - עטיפות.xlsx</x:v>
      </x:c>
      <x:c r="Q260" s="46" t="str">
        <x:v>פילטר יניקת אבק</x:v>
      </x:c>
      <x:c r="R260" s="46" t="n">
        <x:v>259</x:v>
      </x:c>
      <x:c r="S260" s="47" t="b">
        <x:v>1</x:v>
      </x:c>
    </x:row>
    <x:row r="261">
      <x:c r="A261" s="46" t="str">
        <x:v>PM-00258</x:v>
      </x:c>
      <x:c r="B261" s="46" t="str">
        <x:v>ריסוס ספריי רצועות על הרצועות הנעה</x:v>
      </x:c>
      <x:c r="C261" s="46" t="str">
        <x:v>ריסוס ספריי רצועות על הרצועות הנעה</x:v>
      </x:c>
      <x:c r="D261" s="46" t="str">
        <x:v>maintenance</x:v>
      </x:c>
      <x:c r="E261" s="46" t="n">
        <x:v>1</x:v>
      </x:c>
      <x:c r="F261" s="46" t="str">
        <x:v>month</x:v>
      </x:c>
      <x:c r="G261" s="46"/>
      <x:c r="H261" s="46" t="str"/>
      <x:c r="I261" s="47" t="b">
        <x:v>0</x:v>
      </x:c>
      <x:c r="J261" s="46" t="str">
        <x:v>medium</x:v>
      </x:c>
      <x:c r="K261" s="53" t="str"/>
      <x:c r="L261" s="53" t="str"/>
      <x:c r="M261" s="46" t="str"/>
      <x:c r="N261" s="46" t="str"/>
      <x:c r="O261" s="46" t="str"/>
      <x:c r="P261" s="46" t="str">
        <x:v>אחזקה מונעת - עטיפות.xlsx</x:v>
      </x:c>
      <x:c r="Q261" s="46" t="str">
        <x:v>פילטר יניקת אבק</x:v>
      </x:c>
      <x:c r="R261" s="46" t="n">
        <x:v>260</x:v>
      </x:c>
      <x:c r="S261" s="47" t="b">
        <x:v>1</x:v>
      </x:c>
    </x:row>
    <x:row r="262">
      <x:c r="A262" s="46" t="str">
        <x:v>PM-00259</x:v>
      </x:c>
      <x:c r="B262" s="46" t="str">
        <x:v>בדיקת רצועות הנעה לתקינות</x:v>
      </x:c>
      <x:c r="C262" s="46" t="str">
        <x:v>בדיקת רצועות הנעה לתקינות</x:v>
      </x:c>
      <x:c r="D262" s="46" t="str">
        <x:v>maintenance</x:v>
      </x:c>
      <x:c r="E262" s="46" t="n">
        <x:v>1</x:v>
      </x:c>
      <x:c r="F262" s="46" t="str">
        <x:v>month</x:v>
      </x:c>
      <x:c r="G262" s="46"/>
      <x:c r="H262" s="46" t="str"/>
      <x:c r="I262" s="47" t="b">
        <x:v>0</x:v>
      </x:c>
      <x:c r="J262" s="46" t="str">
        <x:v>medium</x:v>
      </x:c>
      <x:c r="K262" s="53" t="str"/>
      <x:c r="L262" s="53" t="str"/>
      <x:c r="M262" s="46" t="str"/>
      <x:c r="N262" s="46" t="str"/>
      <x:c r="O262" s="46" t="str"/>
      <x:c r="P262" s="46" t="str">
        <x:v>אחזקה מונעת - עטיפות.xlsx</x:v>
      </x:c>
      <x:c r="Q262" s="46" t="str">
        <x:v>פילטר יניקת אבק</x:v>
      </x:c>
      <x:c r="R262" s="46" t="n">
        <x:v>261</x:v>
      </x:c>
      <x:c r="S262" s="47" t="b">
        <x:v>1</x:v>
      </x:c>
    </x:row>
    <x:row r="263">
      <x:c r="A263" s="46" t="str">
        <x:v>PM-00260</x:v>
      </x:c>
      <x:c r="B263" s="46" t="str">
        <x:v>בדיקת אביזרי חשמל לתקינות (כולל כבלים ומחברים)</x:v>
      </x:c>
      <x:c r="C263" s="46" t="str">
        <x:v>בדיקת אביזרי חשמל לתקינות (כולל כבלים ומחברים)</x:v>
      </x:c>
      <x:c r="D263" s="46" t="str">
        <x:v>maintenance</x:v>
      </x:c>
      <x:c r="E263" s="46" t="n">
        <x:v>1</x:v>
      </x:c>
      <x:c r="F263" s="46" t="str">
        <x:v>month</x:v>
      </x:c>
      <x:c r="G263" s="46"/>
      <x:c r="H263" s="46" t="str"/>
      <x:c r="I263" s="47" t="b">
        <x:v>0</x:v>
      </x:c>
      <x:c r="J263" s="46" t="str">
        <x:v>medium</x:v>
      </x:c>
      <x:c r="K263" s="53" t="str"/>
      <x:c r="L263" s="53" t="str"/>
      <x:c r="M263" s="46" t="str"/>
      <x:c r="N263" s="46" t="str"/>
      <x:c r="O263" s="46" t="str"/>
      <x:c r="P263" s="46" t="str">
        <x:v>אחזקה מונעת - עטיפות.xlsx</x:v>
      </x:c>
      <x:c r="Q263" s="46" t="str">
        <x:v>פילטר יניקת אבק</x:v>
      </x:c>
      <x:c r="R263" s="46" t="n">
        <x:v>262</x:v>
      </x:c>
      <x:c r="S263" s="47" t="b">
        <x:v>1</x:v>
      </x:c>
    </x:row>
    <x:row r="264">
      <x:c r="A264" s="46" t="str">
        <x:v>PM-00261</x:v>
      </x:c>
      <x:c r="B264" s="46" t="str">
        <x:v>בדיקת גופי חימום לתקינות</x:v>
      </x:c>
      <x:c r="C264" s="46" t="str">
        <x:v>בדיקת גופי חימום לתקינות</x:v>
      </x:c>
      <x:c r="D264" s="46" t="str">
        <x:v>maintenance</x:v>
      </x:c>
      <x:c r="E264" s="46" t="n">
        <x:v>1</x:v>
      </x:c>
      <x:c r="F264" s="46" t="str">
        <x:v>half_year</x:v>
      </x:c>
      <x:c r="G264" s="46"/>
      <x:c r="H264" s="46" t="str"/>
      <x:c r="I264" s="47" t="b">
        <x:v>0</x:v>
      </x:c>
      <x:c r="J264" s="46" t="str">
        <x:v>medium</x:v>
      </x:c>
      <x:c r="K264" s="53" t="str"/>
      <x:c r="L264" s="53" t="str"/>
      <x:c r="M264" s="46" t="str"/>
      <x:c r="N264" s="46" t="str"/>
      <x:c r="O264" s="46" t="str"/>
      <x:c r="P264" s="46" t="str">
        <x:v>אחזקה מונעת - עטיפות.xlsx</x:v>
      </x:c>
      <x:c r="Q264" s="46" t="str">
        <x:v>פילטר יניקת אבק</x:v>
      </x:c>
      <x:c r="R264" s="46" t="n">
        <x:v>263</x:v>
      </x:c>
      <x:c r="S264" s="47" t="b">
        <x:v>1</x:v>
      </x:c>
    </x:row>
    <x:row r="265">
      <x:c r="A265" s="46" t="str">
        <x:v>PM-00262</x:v>
      </x:c>
      <x:c r="B265" s="46" t="str">
        <x:v>בדיקת מנוע לרעשים חריגים</x:v>
      </x:c>
      <x:c r="C265" s="46" t="str">
        <x:v>בדיקת מנוע לרעשים חריגים</x:v>
      </x:c>
      <x:c r="D265" s="46" t="str">
        <x:v>maintenance</x:v>
      </x:c>
      <x:c r="E265" s="46" t="n">
        <x:v>1</x:v>
      </x:c>
      <x:c r="F265" s="46" t="str">
        <x:v>month</x:v>
      </x:c>
      <x:c r="G265" s="46"/>
      <x:c r="H265" s="46" t="str"/>
      <x:c r="I265" s="47" t="b">
        <x:v>0</x:v>
      </x:c>
      <x:c r="J265" s="46" t="str">
        <x:v>medium</x:v>
      </x:c>
      <x:c r="K265" s="53" t="str"/>
      <x:c r="L265" s="53" t="str"/>
      <x:c r="M265" s="46" t="str"/>
      <x:c r="N265" s="46" t="str"/>
      <x:c r="O265" s="46" t="str"/>
      <x:c r="P265" s="46" t="str">
        <x:v>אחזקה מונעת - עטיפות.xlsx</x:v>
      </x:c>
      <x:c r="Q265" s="46" t="str">
        <x:v>תנור קליית צבע</x:v>
      </x:c>
      <x:c r="R265" s="46" t="n">
        <x:v>264</x:v>
      </x:c>
      <x:c r="S265" s="47" t="b">
        <x:v>1</x:v>
      </x:c>
    </x:row>
    <x:row r="266">
      <x:c r="A266" s="46" t="str">
        <x:v>PM-00263</x:v>
      </x:c>
      <x:c r="B266" s="46" t="str">
        <x:v>ריסוס ספריי רצועות על הרצועות הנעה</x:v>
      </x:c>
      <x:c r="C266" s="46" t="str">
        <x:v>ריסוס ספריי רצועות על הרצועות הנעה</x:v>
      </x:c>
      <x:c r="D266" s="46" t="str">
        <x:v>maintenance</x:v>
      </x:c>
      <x:c r="E266" s="46" t="n">
        <x:v>1</x:v>
      </x:c>
      <x:c r="F266" s="46" t="str">
        <x:v>month</x:v>
      </x:c>
      <x:c r="G266" s="46"/>
      <x:c r="H266" s="46" t="str"/>
      <x:c r="I266" s="47" t="b">
        <x:v>0</x:v>
      </x:c>
      <x:c r="J266" s="46" t="str">
        <x:v>medium</x:v>
      </x:c>
      <x:c r="K266" s="53" t="str"/>
      <x:c r="L266" s="53" t="str"/>
      <x:c r="M266" s="46" t="str"/>
      <x:c r="N266" s="46" t="str"/>
      <x:c r="O266" s="46" t="str"/>
      <x:c r="P266" s="46" t="str">
        <x:v>אחזקה מונעת - עטיפות.xlsx</x:v>
      </x:c>
      <x:c r="Q266" s="46" t="str">
        <x:v>תנור קליית צבע</x:v>
      </x:c>
      <x:c r="R266" s="46" t="n">
        <x:v>265</x:v>
      </x:c>
      <x:c r="S266" s="47" t="b">
        <x:v>1</x:v>
      </x:c>
    </x:row>
    <x:row r="267">
      <x:c r="A267" s="46" t="str">
        <x:v>PM-00264</x:v>
      </x:c>
      <x:c r="B267" s="46" t="str">
        <x:v>בדיקת רצועות הנעה לתקינות</x:v>
      </x:c>
      <x:c r="C267" s="46" t="str">
        <x:v>בדיקת רצועות הנעה לתקינות</x:v>
      </x:c>
      <x:c r="D267" s="46" t="str">
        <x:v>maintenance</x:v>
      </x:c>
      <x:c r="E267" s="46" t="n">
        <x:v>1</x:v>
      </x:c>
      <x:c r="F267" s="46" t="str">
        <x:v>month</x:v>
      </x:c>
      <x:c r="G267" s="46"/>
      <x:c r="H267" s="46" t="str"/>
      <x:c r="I267" s="47" t="b">
        <x:v>0</x:v>
      </x:c>
      <x:c r="J267" s="46" t="str">
        <x:v>medium</x:v>
      </x:c>
      <x:c r="K267" s="53" t="str"/>
      <x:c r="L267" s="53" t="str"/>
      <x:c r="M267" s="46" t="str"/>
      <x:c r="N267" s="46" t="str"/>
      <x:c r="O267" s="46" t="str"/>
      <x:c r="P267" s="46" t="str">
        <x:v>אחזקה מונעת - עטיפות.xlsx</x:v>
      </x:c>
      <x:c r="Q267" s="46" t="str">
        <x:v>תנור קליית צבע</x:v>
      </x:c>
      <x:c r="R267" s="46" t="n">
        <x:v>266</x:v>
      </x:c>
      <x:c r="S267" s="47" t="b">
        <x:v>1</x:v>
      </x:c>
    </x:row>
    <x:row r="268">
      <x:c r="A268" s="46" t="str">
        <x:v>PM-00265</x:v>
      </x:c>
      <x:c r="B268" s="46" t="str">
        <x:v>בדיקת אביזרי חשמל לתקינות (כולל כבלים ומחברים)</x:v>
      </x:c>
      <x:c r="C268" s="46" t="str">
        <x:v>בדיקת אביזרי חשמל לתקינות (כולל כבלים ומחברים)</x:v>
      </x:c>
      <x:c r="D268" s="46" t="str">
        <x:v>maintenance</x:v>
      </x:c>
      <x:c r="E268" s="46" t="n">
        <x:v>1</x:v>
      </x:c>
      <x:c r="F268" s="46" t="str">
        <x:v>month</x:v>
      </x:c>
      <x:c r="G268" s="46"/>
      <x:c r="H268" s="46" t="str"/>
      <x:c r="I268" s="47" t="b">
        <x:v>0</x:v>
      </x:c>
      <x:c r="J268" s="46" t="str">
        <x:v>medium</x:v>
      </x:c>
      <x:c r="K268" s="53" t="str"/>
      <x:c r="L268" s="53" t="str"/>
      <x:c r="M268" s="46" t="str"/>
      <x:c r="N268" s="46" t="str"/>
      <x:c r="O268" s="46" t="str"/>
      <x:c r="P268" s="46" t="str">
        <x:v>אחזקה מונעת - עטיפות.xlsx</x:v>
      </x:c>
      <x:c r="Q268" s="46" t="str">
        <x:v>תנור קליית צבע</x:v>
      </x:c>
      <x:c r="R268" s="46" t="n">
        <x:v>267</x:v>
      </x:c>
      <x:c r="S268" s="47" t="b">
        <x:v>1</x:v>
      </x:c>
    </x:row>
    <x:row r="269">
      <x:c r="A269" s="46" t="str">
        <x:v>PM-00266</x:v>
      </x:c>
      <x:c r="B269" s="46" t="str">
        <x:v>בדיקת גופי חימום לתקינות</x:v>
      </x:c>
      <x:c r="C269" s="46" t="str">
        <x:v>בדיקת גופי חימום לתקינות</x:v>
      </x:c>
      <x:c r="D269" s="46" t="str">
        <x:v>maintenance</x:v>
      </x:c>
      <x:c r="E269" s="46" t="n">
        <x:v>1</x:v>
      </x:c>
      <x:c r="F269" s="46" t="str">
        <x:v>half_year</x:v>
      </x:c>
      <x:c r="G269" s="46"/>
      <x:c r="H269" s="46" t="str"/>
      <x:c r="I269" s="47" t="b">
        <x:v>0</x:v>
      </x:c>
      <x:c r="J269" s="46" t="str">
        <x:v>medium</x:v>
      </x:c>
      <x:c r="K269" s="53" t="str"/>
      <x:c r="L269" s="53" t="str"/>
      <x:c r="M269" s="46" t="str"/>
      <x:c r="N269" s="46" t="str"/>
      <x:c r="O269" s="46" t="str"/>
      <x:c r="P269" s="46" t="str">
        <x:v>אחזקה מונעת - עטיפות.xlsx</x:v>
      </x:c>
      <x:c r="Q269" s="46" t="str">
        <x:v>תנור קליית צבע</x:v>
      </x:c>
      <x:c r="R269" s="46" t="n">
        <x:v>268</x:v>
      </x:c>
      <x:c r="S269" s="47" t="b">
        <x:v>1</x:v>
      </x:c>
    </x:row>
    <x:row r="270">
      <x:c r="A270" s="46" t="str">
        <x:v>PM-00267</x:v>
      </x:c>
      <x:c r="B270" s="46" t="str">
        <x:v>בדיקת כננת חשמלית לעבודה</x:v>
      </x:c>
      <x:c r="C270" s="46" t="str">
        <x:v>בדיקת כננת חשמלית לעבודה</x:v>
      </x:c>
      <x:c r="D270" s="46" t="str">
        <x:v>operator_monitoring</x:v>
      </x:c>
      <x:c r="E270" s="46" t="n">
        <x:v>1</x:v>
      </x:c>
      <x:c r="F270" s="46" t="str">
        <x:v>day</x:v>
      </x:c>
      <x:c r="G270" s="46" t="n">
        <x:v>5</x:v>
      </x:c>
      <x:c r="H270" s="46" t="str"/>
      <x:c r="I270" s="47" t="b">
        <x:v>0</x:v>
      </x:c>
      <x:c r="J270" s="46" t="str">
        <x:v>medium</x:v>
      </x:c>
      <x:c r="K270" s="53" t="str"/>
      <x:c r="L270" s="53" t="str"/>
      <x:c r="M270" s="46" t="str"/>
      <x:c r="N270" s="46" t="str"/>
      <x:c r="O270" s="46" t="str"/>
      <x:c r="P270" s="46" t="str">
        <x:v>אחזקה מונעת - מערכת מילוי ויבוש אמייל.xlsx</x:v>
      </x:c>
      <x:c r="Q270" s="46" t="str">
        <x:v>מסילות וככנת הרמה חשמלית</x:v>
      </x:c>
      <x:c r="R270" s="46" t="n">
        <x:v>269</x:v>
      </x:c>
      <x:c r="S270" s="47" t="b">
        <x:v>1</x:v>
      </x:c>
    </x:row>
    <x:row r="271">
      <x:c r="A271" s="46" t="str">
        <x:v>PM-00268</x:v>
      </x:c>
      <x:c r="B271" s="46" t="str">
        <x:v>ניקוי שלט כננת הרמה משמן וגריז עם שמרטוט יבשה</x:v>
      </x:c>
      <x:c r="C271" s="46" t="str">
        <x:v>ניקוי שלט כננת הרמה משמן וגריז עם שמרטוט יבשה</x:v>
      </x:c>
      <x:c r="D271" s="46" t="str">
        <x:v>operator_monitoring</x:v>
      </x:c>
      <x:c r="E271" s="46" t="n">
        <x:v>1</x:v>
      </x:c>
      <x:c r="F271" s="46" t="str">
        <x:v>week</x:v>
      </x:c>
      <x:c r="G271" s="46" t="n">
        <x:v>15</x:v>
      </x:c>
      <x:c r="H271" s="46" t="str"/>
      <x:c r="I271" s="47" t="b">
        <x:v>0</x:v>
      </x:c>
      <x:c r="J271" s="46" t="str">
        <x:v>medium</x:v>
      </x:c>
      <x:c r="K271" s="53" t="str"/>
      <x:c r="L271" s="53" t="str"/>
      <x:c r="M271" s="46" t="str"/>
      <x:c r="N271" s="46" t="str"/>
      <x:c r="O271" s="46" t="str"/>
      <x:c r="P271" s="46" t="str">
        <x:v>אחזקה מונעת - מערכת מילוי ויבוש אמייל.xlsx</x:v>
      </x:c>
      <x:c r="Q271" s="46" t="str">
        <x:v>מסילות וככנת הרמה חשמלית</x:v>
      </x:c>
      <x:c r="R271" s="46" t="n">
        <x:v>270</x:v>
      </x:c>
      <x:c r="S271" s="47" t="b">
        <x:v>1</x:v>
      </x:c>
    </x:row>
    <x:row r="272">
      <x:c r="A272" s="46" t="str">
        <x:v>PM-00269</x:v>
      </x:c>
      <x:c r="B272" s="46" t="str">
        <x:v>בדיקת קונסטרוקציה לנזקים וחלודה</x:v>
      </x:c>
      <x:c r="C272" s="46" t="str">
        <x:v>בדיקת קונסטרוקציה לנזקים וחלודה</x:v>
      </x:c>
      <x:c r="D272" s="46" t="str">
        <x:v>maintenance</x:v>
      </x:c>
      <x:c r="E272" s="46" t="n">
        <x:v>1</x:v>
      </x:c>
      <x:c r="F272" s="46" t="str">
        <x:v>half_year</x:v>
      </x:c>
      <x:c r="G272" s="46" t="n">
        <x:v>15</x:v>
      </x:c>
      <x:c r="H272" s="46" t="str"/>
      <x:c r="I272" s="47" t="b">
        <x:v>0</x:v>
      </x:c>
      <x:c r="J272" s="46" t="str">
        <x:v>medium</x:v>
      </x:c>
      <x:c r="K272" s="53" t="str"/>
      <x:c r="L272" s="53" t="str"/>
      <x:c r="M272" s="46" t="str"/>
      <x:c r="N272" s="46" t="str"/>
      <x:c r="O272" s="46" t="str"/>
      <x:c r="P272" s="46" t="str">
        <x:v>אחזקה מונעת - מערכת מילוי ויבוש אמייל.xlsx</x:v>
      </x:c>
      <x:c r="Q272" s="46" t="str">
        <x:v>מסילות וככנת הרמה חשמלית</x:v>
      </x:c>
      <x:c r="R272" s="46" t="n">
        <x:v>271</x:v>
      </x:c>
      <x:c r="S272" s="47" t="b">
        <x:v>1</x:v>
      </x:c>
    </x:row>
    <x:row r="273">
      <x:c r="A273" s="46" t="str">
        <x:v>PM-00270</x:v>
      </x:c>
      <x:c r="B273" s="46" t="str">
        <x:v>בדיקת וו בככנת הרמה לתקינות</x:v>
      </x:c>
      <x:c r="C273" s="46" t="str">
        <x:v>בדיקת וו בככנת הרמה לתקינות</x:v>
      </x:c>
      <x:c r="D273" s="46" t="str">
        <x:v>maintenance</x:v>
      </x:c>
      <x:c r="E273" s="46" t="n">
        <x:v>1</x:v>
      </x:c>
      <x:c r="F273" s="46" t="str">
        <x:v>half_year</x:v>
      </x:c>
      <x:c r="G273" s="46" t="n">
        <x:v>5</x:v>
      </x:c>
      <x:c r="H273" s="46" t="str"/>
      <x:c r="I273" s="47" t="b">
        <x:v>0</x:v>
      </x:c>
      <x:c r="J273" s="46" t="str">
        <x:v>medium</x:v>
      </x:c>
      <x:c r="K273" s="53" t="str"/>
      <x:c r="L273" s="53" t="str"/>
      <x:c r="M273" s="46" t="str"/>
      <x:c r="N273" s="46" t="str"/>
      <x:c r="O273" s="46" t="str"/>
      <x:c r="P273" s="46" t="str">
        <x:v>אחזקה מונעת - מערכת מילוי ויבוש אמייל.xlsx</x:v>
      </x:c>
      <x:c r="Q273" s="46" t="str">
        <x:v>מסילות וככנת הרמה חשמלית</x:v>
      </x:c>
      <x:c r="R273" s="46" t="n">
        <x:v>272</x:v>
      </x:c>
      <x:c r="S273" s="47" t="b">
        <x:v>1</x:v>
      </x:c>
    </x:row>
    <x:row r="274">
      <x:c r="A274" s="46" t="str">
        <x:v>PM-00271</x:v>
      </x:c>
      <x:c r="B274" s="46" t="str">
        <x:v>בדיקת תקינות שלט כננן הרמה</x:v>
      </x:c>
      <x:c r="C274" s="46" t="str">
        <x:v>בדיקת תקינות שלט כננן הרמה</x:v>
      </x:c>
      <x:c r="D274" s="46" t="str">
        <x:v>maintenance</x:v>
      </x:c>
      <x:c r="E274" s="46" t="n">
        <x:v>1</x:v>
      </x:c>
      <x:c r="F274" s="46" t="str">
        <x:v>month</x:v>
      </x:c>
      <x:c r="G274" s="46" t="n">
        <x:v>10</x:v>
      </x:c>
      <x:c r="H274" s="46" t="str"/>
      <x:c r="I274" s="47" t="b">
        <x:v>0</x:v>
      </x:c>
      <x:c r="J274" s="46" t="str">
        <x:v>medium</x:v>
      </x:c>
      <x:c r="K274" s="53" t="str"/>
      <x:c r="L274" s="53" t="str"/>
      <x:c r="M274" s="46" t="str"/>
      <x:c r="N274" s="46" t="str"/>
      <x:c r="O274" s="46" t="str"/>
      <x:c r="P274" s="46" t="str">
        <x:v>אחזקה מונעת - מערכת מילוי ויבוש אמייל.xlsx</x:v>
      </x:c>
      <x:c r="Q274" s="46" t="str">
        <x:v>מסילות וככנת הרמה חשמלית</x:v>
      </x:c>
      <x:c r="R274" s="46" t="n">
        <x:v>273</x:v>
      </x:c>
      <x:c r="S274" s="47" t="b">
        <x:v>1</x:v>
      </x:c>
    </x:row>
    <x:row r="275">
      <x:c r="A275" s="46" t="str">
        <x:v>PM-00272</x:v>
      </x:c>
      <x:c r="B275" s="46" t="str">
        <x:v>בדיקת אביזרי חשמל לתקינות (כולל כבלים ומחברים)</x:v>
      </x:c>
      <x:c r="C275" s="46" t="str">
        <x:v>בדיקת אביזרי חשמל לתקינות (כולל כבלים ומחברים)</x:v>
      </x:c>
      <x:c r="D275" s="46" t="str">
        <x:v>maintenance</x:v>
      </x:c>
      <x:c r="E275" s="46" t="n">
        <x:v>1</x:v>
      </x:c>
      <x:c r="F275" s="46" t="str">
        <x:v>half_year</x:v>
      </x:c>
      <x:c r="G275" s="46" t="n">
        <x:v>20</x:v>
      </x:c>
      <x:c r="H275" s="46" t="str"/>
      <x:c r="I275" s="47" t="b">
        <x:v>0</x:v>
      </x:c>
      <x:c r="J275" s="46" t="str">
        <x:v>medium</x:v>
      </x:c>
      <x:c r="K275" s="53" t="str"/>
      <x:c r="L275" s="53" t="str"/>
      <x:c r="M275" s="46" t="str"/>
      <x:c r="N275" s="46" t="str"/>
      <x:c r="O275" s="46" t="str"/>
      <x:c r="P275" s="46" t="str">
        <x:v>אחזקה מונעת - מערכת מילוי ויבוש אמייל.xlsx</x:v>
      </x:c>
      <x:c r="Q275" s="46" t="str">
        <x:v>מסילות וככנת הרמה חשמלית</x:v>
      </x:c>
      <x:c r="R275" s="46" t="n">
        <x:v>274</x:v>
      </x:c>
      <x:c r="S275" s="47" t="b">
        <x:v>1</x:v>
      </x:c>
    </x:row>
    <x:row r="276">
      <x:c r="A276" s="46" t="str">
        <x:v>PM-00273</x:v>
      </x:c>
      <x:c r="B276" s="46" t="str">
        <x:v>בדיקה וניקוי קופסת חשמל ע"י אויר</x:v>
      </x:c>
      <x:c r="C276" s="46" t="str">
        <x:v>בדיקה וניקוי קופסת חשמל ע"י אויר</x:v>
      </x:c>
      <x:c r="D276" s="46" t="str">
        <x:v>maintenance</x:v>
      </x:c>
      <x:c r="E276" s="46" t="n">
        <x:v>1</x:v>
      </x:c>
      <x:c r="F276" s="46" t="str">
        <x:v>half_year</x:v>
      </x:c>
      <x:c r="G276" s="46" t="n">
        <x:v>20</x:v>
      </x:c>
      <x:c r="H276" s="46" t="str"/>
      <x:c r="I276" s="47" t="b">
        <x:v>0</x:v>
      </x:c>
      <x:c r="J276" s="46" t="str">
        <x:v>medium</x:v>
      </x:c>
      <x:c r="K276" s="53" t="str"/>
      <x:c r="L276" s="53" t="str"/>
      <x:c r="M276" s="46" t="str"/>
      <x:c r="N276" s="46" t="str"/>
      <x:c r="O276" s="46" t="str"/>
      <x:c r="P276" s="46" t="str">
        <x:v>אחזקה מונעת - מערכת מילוי ויבוש אמייל.xlsx</x:v>
      </x:c>
      <x:c r="Q276" s="46" t="str">
        <x:v>מסילות וככנת הרמה חשמלית</x:v>
      </x:c>
      <x:c r="R276" s="46" t="n">
        <x:v>275</x:v>
      </x:c>
      <x:c r="S276" s="47" t="b">
        <x:v>1</x:v>
      </x:c>
    </x:row>
    <x:row r="277">
      <x:c r="A277" s="46" t="str">
        <x:v>PM-00274</x:v>
      </x:c>
      <x:c r="B277" s="46" t="str">
        <x:v>בדיקת עבודה תקינה לרעשים חריגים</x:v>
      </x:c>
      <x:c r="C277" s="46" t="str">
        <x:v>בדיקת עבודה תקינה לרעשים חריגים</x:v>
      </x:c>
      <x:c r="D277" s="46" t="str">
        <x:v>operator_monitoring</x:v>
      </x:c>
      <x:c r="E277" s="46" t="n">
        <x:v>1</x:v>
      </x:c>
      <x:c r="F277" s="46" t="str">
        <x:v>day</x:v>
      </x:c>
      <x:c r="G277" s="46" t="n">
        <x:v>10</x:v>
      </x:c>
      <x:c r="H277" s="46" t="str"/>
      <x:c r="I277" s="47" t="b">
        <x:v>0</x:v>
      </x:c>
      <x:c r="J277" s="46" t="str">
        <x:v>medium</x:v>
      </x:c>
      <x:c r="K277" s="53" t="str"/>
      <x:c r="L277" s="53" t="str"/>
      <x:c r="M277" s="46" t="str"/>
      <x:c r="N277" s="46" t="str"/>
      <x:c r="O277" s="46" t="str"/>
      <x:c r="P277" s="46" t="str">
        <x:v>אחזקה מונעת - מערכת מילוי ויבוש אמייל.xlsx</x:v>
      </x:c>
      <x:c r="Q277" s="46" t="str">
        <x:v>מילוי אמייל</x:v>
      </x:c>
      <x:c r="R277" s="46" t="n">
        <x:v>276</x:v>
      </x:c>
      <x:c r="S277" s="47" t="b">
        <x:v>1</x:v>
      </x:c>
    </x:row>
    <x:row r="278">
      <x:c r="A278" s="46" t="str">
        <x:v>PM-00275</x:v>
      </x:c>
      <x:c r="B278" s="46" t="str">
        <x:v>ניקוי המערכת מעודפי אימייל</x:v>
      </x:c>
      <x:c r="C278" s="46" t="str">
        <x:v>ניקוי המערכת מעודפי אימייל</x:v>
      </x:c>
      <x:c r="D278" s="46" t="str">
        <x:v>operator_monitoring</x:v>
      </x:c>
      <x:c r="E278" s="46" t="n">
        <x:v>1</x:v>
      </x:c>
      <x:c r="F278" s="46" t="str">
        <x:v>day</x:v>
      </x:c>
      <x:c r="G278" s="46" t="n">
        <x:v>15</x:v>
      </x:c>
      <x:c r="H278" s="46" t="str"/>
      <x:c r="I278" s="47" t="b">
        <x:v>0</x:v>
      </x:c>
      <x:c r="J278" s="46" t="str">
        <x:v>medium</x:v>
      </x:c>
      <x:c r="K278" s="53" t="str"/>
      <x:c r="L278" s="53" t="str"/>
      <x:c r="M278" s="46" t="str"/>
      <x:c r="N278" s="46" t="str"/>
      <x:c r="O278" s="46" t="str"/>
      <x:c r="P278" s="46" t="str">
        <x:v>אחזקה מונעת - מערכת מילוי ויבוש אמייל.xlsx</x:v>
      </x:c>
      <x:c r="Q278" s="46" t="str">
        <x:v>מילוי אמייל</x:v>
      </x:c>
      <x:c r="R278" s="46" t="n">
        <x:v>277</x:v>
      </x:c>
      <x:c r="S278" s="47" t="b">
        <x:v>1</x:v>
      </x:c>
    </x:row>
    <x:row r="279">
      <x:c r="A279" s="46" t="str">
        <x:v>PM-00276</x:v>
      </x:c>
      <x:c r="B279" s="46" t="str">
        <x:v>ניקוי מערכת הנעה ע"י לחץ אויר</x:v>
      </x:c>
      <x:c r="C279" s="46" t="str">
        <x:v>ניקוי מערכת הנעה ע"י לחץ אויר</x:v>
      </x:c>
      <x:c r="D279" s="46" t="str">
        <x:v>maintenance</x:v>
      </x:c>
      <x:c r="E279" s="46" t="n">
        <x:v>1</x:v>
      </x:c>
      <x:c r="F279" s="46" t="str">
        <x:v>week</x:v>
      </x:c>
      <x:c r="G279" s="46" t="n">
        <x:v>10</x:v>
      </x:c>
      <x:c r="H279" s="46" t="str"/>
      <x:c r="I279" s="47" t="b">
        <x:v>0</x:v>
      </x:c>
      <x:c r="J279" s="46" t="str">
        <x:v>medium</x:v>
      </x:c>
      <x:c r="K279" s="53" t="str"/>
      <x:c r="L279" s="53" t="str"/>
      <x:c r="M279" s="46" t="str"/>
      <x:c r="N279" s="46" t="str"/>
      <x:c r="O279" s="46" t="str"/>
      <x:c r="P279" s="46" t="str">
        <x:v>אחזקה מונעת - מערכת מילוי ויבוש אמייל.xlsx</x:v>
      </x:c>
      <x:c r="Q279" s="46" t="str">
        <x:v>מילוי אמייל</x:v>
      </x:c>
      <x:c r="R279" s="46" t="n">
        <x:v>278</x:v>
      </x:c>
      <x:c r="S279" s="47" t="b">
        <x:v>1</x:v>
      </x:c>
    </x:row>
    <x:row r="280">
      <x:c r="A280" s="46" t="str">
        <x:v>PM-00277</x:v>
      </x:c>
      <x:c r="B280" s="46" t="str">
        <x:v>שימון שרשרות הנעה</x:v>
      </x:c>
      <x:c r="C280" s="46" t="str">
        <x:v>שימון שרשרות הנעה</x:v>
      </x:c>
      <x:c r="D280" s="46" t="str">
        <x:v>maintenance</x:v>
      </x:c>
      <x:c r="E280" s="46" t="n">
        <x:v>1</x:v>
      </x:c>
      <x:c r="F280" s="46" t="str">
        <x:v>week</x:v>
      </x:c>
      <x:c r="G280" s="46" t="n">
        <x:v>5</x:v>
      </x:c>
      <x:c r="H280" s="46" t="str"/>
      <x:c r="I280" s="47" t="b">
        <x:v>0</x:v>
      </x:c>
      <x:c r="J280" s="46" t="str">
        <x:v>medium</x:v>
      </x:c>
      <x:c r="K280" s="53" t="str"/>
      <x:c r="L280" s="53" t="str"/>
      <x:c r="M280" s="46" t="str"/>
      <x:c r="N280" s="46" t="str"/>
      <x:c r="O280" s="46" t="str"/>
      <x:c r="P280" s="46" t="str">
        <x:v>אחזקה מונעת - מערכת מילוי ויבוש אמייל.xlsx</x:v>
      </x:c>
      <x:c r="Q280" s="46" t="str">
        <x:v>מילוי אמייל</x:v>
      </x:c>
      <x:c r="R280" s="46" t="n">
        <x:v>279</x:v>
      </x:c>
      <x:c r="S280" s="47" t="b">
        <x:v>1</x:v>
      </x:c>
    </x:row>
    <x:row r="281">
      <x:c r="A281" s="46" t="str">
        <x:v>PM-00278</x:v>
      </x:c>
      <x:c r="B281" s="46" t="str">
        <x:v>בדיקת וטיפול בנזילות אויר (צילינדר פנאומטי)</x:v>
      </x:c>
      <x:c r="C281" s="46" t="str">
        <x:v>בדיקת וטיפול בנזילות אויר (צילינדר פנאומטי)</x:v>
      </x:c>
      <x:c r="D281" s="46" t="str">
        <x:v>maintenance</x:v>
      </x:c>
      <x:c r="E281" s="46" t="n">
        <x:v>1</x:v>
      </x:c>
      <x:c r="F281" s="46" t="str">
        <x:v>month</x:v>
      </x:c>
      <x:c r="G281" s="46" t="n">
        <x:v>5</x:v>
      </x:c>
      <x:c r="H281" s="46" t="str"/>
      <x:c r="I281" s="47" t="b">
        <x:v>0</x:v>
      </x:c>
      <x:c r="J281" s="46" t="str">
        <x:v>medium</x:v>
      </x:c>
      <x:c r="K281" s="53" t="str"/>
      <x:c r="L281" s="53" t="str"/>
      <x:c r="M281" s="46" t="str"/>
      <x:c r="N281" s="46" t="str"/>
      <x:c r="O281" s="46" t="str"/>
      <x:c r="P281" s="46" t="str">
        <x:v>אחזקה מונעת - מערכת מילוי ויבוש אמייל.xlsx</x:v>
      </x:c>
      <x:c r="Q281" s="46" t="str">
        <x:v>מילוי אמייל</x:v>
      </x:c>
      <x:c r="R281" s="46" t="n">
        <x:v>280</x:v>
      </x:c>
      <x:c r="S281" s="47" t="b">
        <x:v>1</x:v>
      </x:c>
    </x:row>
    <x:row r="282">
      <x:c r="A282" s="46" t="str">
        <x:v>PM-00279</x:v>
      </x:c>
      <x:c r="B282" s="46" t="str">
        <x:v>בדיקת מערכת ואקום בעבודה</x:v>
      </x:c>
      <x:c r="C282" s="46" t="str">
        <x:v>בדיקת מערכת ואקום בעבודה</x:v>
      </x:c>
      <x:c r="D282" s="46" t="str">
        <x:v>maintenance</x:v>
      </x:c>
      <x:c r="E282" s="46" t="n">
        <x:v>1</x:v>
      </x:c>
      <x:c r="F282" s="46" t="str">
        <x:v>month</x:v>
      </x:c>
      <x:c r="G282" s="46" t="n">
        <x:v>10</x:v>
      </x:c>
      <x:c r="H282" s="46" t="str"/>
      <x:c r="I282" s="47" t="b">
        <x:v>0</x:v>
      </x:c>
      <x:c r="J282" s="46" t="str">
        <x:v>medium</x:v>
      </x:c>
      <x:c r="K282" s="53" t="str"/>
      <x:c r="L282" s="53" t="str"/>
      <x:c r="M282" s="46" t="str"/>
      <x:c r="N282" s="46" t="str"/>
      <x:c r="O282" s="46" t="str"/>
      <x:c r="P282" s="46" t="str">
        <x:v>אחזקה מונעת - מערכת מילוי ויבוש אמייל.xlsx</x:v>
      </x:c>
      <x:c r="Q282" s="46" t="str">
        <x:v>מילוי אמייל</x:v>
      </x:c>
      <x:c r="R282" s="46" t="n">
        <x:v>281</x:v>
      </x:c>
      <x:c r="S282" s="47" t="b">
        <x:v>1</x:v>
      </x:c>
    </x:row>
    <x:row r="283">
      <x:c r="A283" s="46" t="str">
        <x:v>PM-00280</x:v>
      </x:c>
      <x:c r="B283" s="46" t="str">
        <x:v>גירוז מיסבים</x:v>
      </x:c>
      <x:c r="C283" s="46" t="str">
        <x:v>גירוז מיסבים</x:v>
      </x:c>
      <x:c r="D283" s="46" t="str">
        <x:v>maintenance</x:v>
      </x:c>
      <x:c r="E283" s="46" t="n">
        <x:v>1</x:v>
      </x:c>
      <x:c r="F283" s="46" t="str">
        <x:v>month</x:v>
      </x:c>
      <x:c r="G283" s="46" t="n">
        <x:v>5</x:v>
      </x:c>
      <x:c r="H283" s="46" t="str"/>
      <x:c r="I283" s="47" t="b">
        <x:v>0</x:v>
      </x:c>
      <x:c r="J283" s="46" t="str">
        <x:v>medium</x:v>
      </x:c>
      <x:c r="K283" s="53" t="str"/>
      <x:c r="L283" s="53" t="str"/>
      <x:c r="M283" s="46" t="str"/>
      <x:c r="N283" s="46" t="str"/>
      <x:c r="O283" s="46" t="str"/>
      <x:c r="P283" s="46" t="str">
        <x:v>אחזקה מונעת - מערכת מילוי ויבוש אמייל.xlsx</x:v>
      </x:c>
      <x:c r="Q283" s="46" t="str">
        <x:v>מילוי אמייל</x:v>
      </x:c>
      <x:c r="R283" s="46" t="n">
        <x:v>282</x:v>
      </x:c>
      <x:c r="S283" s="47" t="b">
        <x:v>1</x:v>
      </x:c>
    </x:row>
    <x:row r="284">
      <x:c r="A284" s="46" t="str">
        <x:v>PM-00281</x:v>
      </x:c>
      <x:c r="B284" s="46" t="str">
        <x:v>בדיקת יחידת הנעה לתקינות (רעשים חריגים)</x:v>
      </x:c>
      <x:c r="C284" s="46" t="str">
        <x:v>בדיקת יחידת הנעה לתקינות (רעשים חריגים)</x:v>
      </x:c>
      <x:c r="D284" s="46" t="str">
        <x:v>maintenance</x:v>
      </x:c>
      <x:c r="E284" s="46" t="n">
        <x:v>1</x:v>
      </x:c>
      <x:c r="F284" s="46" t="str">
        <x:v>half_year</x:v>
      </x:c>
      <x:c r="G284" s="46" t="n">
        <x:v>10</x:v>
      </x:c>
      <x:c r="H284" s="46" t="str"/>
      <x:c r="I284" s="47" t="b">
        <x:v>0</x:v>
      </x:c>
      <x:c r="J284" s="46" t="str">
        <x:v>medium</x:v>
      </x:c>
      <x:c r="K284" s="53" t="str"/>
      <x:c r="L284" s="53" t="str"/>
      <x:c r="M284" s="46" t="str"/>
      <x:c r="N284" s="46" t="str"/>
      <x:c r="O284" s="46" t="str"/>
      <x:c r="P284" s="46" t="str">
        <x:v>אחזקה מונעת - מערכת מילוי ויבוש אמייל.xlsx</x:v>
      </x:c>
      <x:c r="Q284" s="46" t="str">
        <x:v>מילוי אמייל</x:v>
      </x:c>
      <x:c r="R284" s="46" t="n">
        <x:v>283</x:v>
      </x:c>
      <x:c r="S284" s="47" t="b">
        <x:v>1</x:v>
      </x:c>
    </x:row>
    <x:row r="285">
      <x:c r="A285" s="46" t="str">
        <x:v>PM-00282</x:v>
      </x:c>
      <x:c r="B285" s="46" t="str">
        <x:v>בדיקת בוחש במיכל החזרת אימייל לתקינות</x:v>
      </x:c>
      <x:c r="C285" s="46" t="str">
        <x:v>בדיקת בוחש במיכל החזרת אימייל לתקינות</x:v>
      </x:c>
      <x:c r="D285" s="46" t="str">
        <x:v>maintenance</x:v>
      </x:c>
      <x:c r="E285" s="46" t="n">
        <x:v>1</x:v>
      </x:c>
      <x:c r="F285" s="46" t="str">
        <x:v>half_year</x:v>
      </x:c>
      <x:c r="G285" s="46" t="n">
        <x:v>15</x:v>
      </x:c>
      <x:c r="H285" s="46" t="str"/>
      <x:c r="I285" s="47" t="b">
        <x:v>0</x:v>
      </x:c>
      <x:c r="J285" s="46" t="str">
        <x:v>medium</x:v>
      </x:c>
      <x:c r="K285" s="53" t="str"/>
      <x:c r="L285" s="53" t="str"/>
      <x:c r="M285" s="46" t="str"/>
      <x:c r="N285" s="46" t="str"/>
      <x:c r="O285" s="46" t="str"/>
      <x:c r="P285" s="46" t="str">
        <x:v>אחזקה מונעת - מערכת מילוי ויבוש אמייל.xlsx</x:v>
      </x:c>
      <x:c r="Q285" s="46" t="str">
        <x:v>מילוי אמייל</x:v>
      </x:c>
      <x:c r="R285" s="46" t="n">
        <x:v>284</x:v>
      </x:c>
      <x:c r="S285" s="47" t="b">
        <x:v>1</x:v>
      </x:c>
    </x:row>
    <x:row r="286">
      <x:c r="A286" s="46" t="str">
        <x:v>PM-00283</x:v>
      </x:c>
      <x:c r="B286" s="46" t="str">
        <x:v>בדיקת ומילוי שמן בגירים</x:v>
      </x:c>
      <x:c r="C286" s="46" t="str">
        <x:v>בדיקת ומילוי שמן בגירים</x:v>
      </x:c>
      <x:c r="D286" s="46" t="str">
        <x:v>maintenance</x:v>
      </x:c>
      <x:c r="E286" s="46" t="n">
        <x:v>1</x:v>
      </x:c>
      <x:c r="F286" s="46" t="str">
        <x:v>half_year</x:v>
      </x:c>
      <x:c r="G286" s="46" t="n">
        <x:v>20</x:v>
      </x:c>
      <x:c r="H286" s="46" t="str"/>
      <x:c r="I286" s="47" t="b">
        <x:v>0</x:v>
      </x:c>
      <x:c r="J286" s="46" t="str">
        <x:v>medium</x:v>
      </x:c>
      <x:c r="K286" s="53" t="str"/>
      <x:c r="L286" s="53" t="str"/>
      <x:c r="M286" s="46" t="str"/>
      <x:c r="N286" s="46" t="str"/>
      <x:c r="O286" s="46" t="str"/>
      <x:c r="P286" s="46" t="str">
        <x:v>אחזקה מונעת - מערכת מילוי ויבוש אמייל.xlsx</x:v>
      </x:c>
      <x:c r="Q286" s="46" t="str">
        <x:v>מילוי אמייל</x:v>
      </x:c>
      <x:c r="R286" s="46" t="n">
        <x:v>285</x:v>
      </x:c>
      <x:c r="S286" s="47" t="b">
        <x:v>1</x:v>
      </x:c>
    </x:row>
    <x:row r="287">
      <x:c r="A287" s="46" t="str">
        <x:v>PM-00284</x:v>
      </x:c>
      <x:c r="B287" s="46" t="str">
        <x:v>בדיקת אביזרי חשמל לתקינות (כולל כבלים ומחברים)</x:v>
      </x:c>
      <x:c r="C287" s="46" t="str">
        <x:v>בדיקת אביזרי חשמל לתקינות (כולל כבלים ומחברים)</x:v>
      </x:c>
      <x:c r="D287" s="46" t="str">
        <x:v>maintenance</x:v>
      </x:c>
      <x:c r="E287" s="46" t="n">
        <x:v>1</x:v>
      </x:c>
      <x:c r="F287" s="46" t="str">
        <x:v>month</x:v>
      </x:c>
      <x:c r="G287" s="46" t="n">
        <x:v>20</x:v>
      </x:c>
      <x:c r="H287" s="46" t="str"/>
      <x:c r="I287" s="47" t="b">
        <x:v>0</x:v>
      </x:c>
      <x:c r="J287" s="46" t="str">
        <x:v>medium</x:v>
      </x:c>
      <x:c r="K287" s="53" t="str"/>
      <x:c r="L287" s="53" t="str"/>
      <x:c r="M287" s="46" t="str"/>
      <x:c r="N287" s="46" t="str"/>
      <x:c r="O287" s="46" t="str"/>
      <x:c r="P287" s="46" t="str">
        <x:v>אחזקה מונעת - מערכת מילוי ויבוש אמייל.xlsx</x:v>
      </x:c>
      <x:c r="Q287" s="46" t="str">
        <x:v>מילוי אמייל</x:v>
      </x:c>
      <x:c r="R287" s="46" t="n">
        <x:v>286</x:v>
      </x:c>
      <x:c r="S287" s="47" t="b">
        <x:v>1</x:v>
      </x:c>
    </x:row>
    <x:row r="288">
      <x:c r="A288" s="46" t="str">
        <x:v>PM-00285</x:v>
      </x:c>
      <x:c r="B288" s="46" t="str">
        <x:v>בדיקה וניקוי ארון חשמל ע"י אויר</x:v>
      </x:c>
      <x:c r="C288" s="46" t="str">
        <x:v>בדיקה וניקוי ארון חשמל ע"י אויר</x:v>
      </x:c>
      <x:c r="D288" s="46" t="str">
        <x:v>maintenance</x:v>
      </x:c>
      <x:c r="E288" s="46" t="n">
        <x:v>1</x:v>
      </x:c>
      <x:c r="F288" s="46" t="str">
        <x:v>month</x:v>
      </x:c>
      <x:c r="G288" s="46" t="n">
        <x:v>20</x:v>
      </x:c>
      <x:c r="H288" s="46" t="str"/>
      <x:c r="I288" s="47" t="b">
        <x:v>0</x:v>
      </x:c>
      <x:c r="J288" s="46" t="str">
        <x:v>medium</x:v>
      </x:c>
      <x:c r="K288" s="53" t="str"/>
      <x:c r="L288" s="53" t="str"/>
      <x:c r="M288" s="46" t="str"/>
      <x:c r="N288" s="46" t="str"/>
      <x:c r="O288" s="46" t="str"/>
      <x:c r="P288" s="46" t="str">
        <x:v>אחזקה מונעת - מערכת מילוי ויבוש אמייל.xlsx</x:v>
      </x:c>
      <x:c r="Q288" s="46" t="str">
        <x:v>מילוי אמייל</x:v>
      </x:c>
      <x:c r="R288" s="46" t="n">
        <x:v>287</x:v>
      </x:c>
      <x:c r="S288" s="47" t="b">
        <x:v>1</x:v>
      </x:c>
    </x:row>
    <x:row r="289">
      <x:c r="A289" s="46" t="str">
        <x:v>PM-00286</x:v>
      </x:c>
      <x:c r="B289" s="46" t="str">
        <x:v>ניקוי וגירוז מיסבים של המסילה</x:v>
      </x:c>
      <x:c r="C289" s="46" t="str">
        <x:v>ניקוי וגירוז מיסבים של המסילה</x:v>
      </x:c>
      <x:c r="D289" s="46" t="str">
        <x:v>operator_monitoring</x:v>
      </x:c>
      <x:c r="E289" s="46" t="n">
        <x:v>1</x:v>
      </x:c>
      <x:c r="F289" s="46" t="str">
        <x:v>month</x:v>
      </x:c>
      <x:c r="G289" s="46" t="n">
        <x:v>480</x:v>
      </x:c>
      <x:c r="H289" s="46" t="str"/>
      <x:c r="I289" s="47" t="b">
        <x:v>0</x:v>
      </x:c>
      <x:c r="J289" s="46" t="str">
        <x:v>medium</x:v>
      </x:c>
      <x:c r="K289" s="53" t="str"/>
      <x:c r="L289" s="53" t="str"/>
      <x:c r="M289" s="46" t="str"/>
      <x:c r="N289" s="46" t="str"/>
      <x:c r="O289" s="46" t="str"/>
      <x:c r="P289" s="46" t="str">
        <x:v>אחזקה מונעת - מערכת מילוי ויבוש אמייל.xlsx</x:v>
      </x:c>
      <x:c r="Q289" s="46" t="str">
        <x:v>מסוע עלי יבוש אמייל</x:v>
      </x:c>
      <x:c r="R289" s="46" t="n">
        <x:v>288</x:v>
      </x:c>
      <x:c r="S289" s="47" t="b">
        <x:v>1</x:v>
      </x:c>
    </x:row>
    <x:row r="290">
      <x:c r="A290" s="46" t="str">
        <x:v>PM-00287</x:v>
      </x:c>
      <x:c r="B290" s="46" t="str">
        <x:v>בדיקת יחידות הנעה (מנוע, גיר ושרשרת)</x:v>
      </x:c>
      <x:c r="C290" s="46" t="str">
        <x:v>בדיקת יחידות הנעה (מנוע, גיר ושרשרת)</x:v>
      </x:c>
      <x:c r="D290" s="46" t="str">
        <x:v>maintenance</x:v>
      </x:c>
      <x:c r="E290" s="46" t="n">
        <x:v>1</x:v>
      </x:c>
      <x:c r="F290" s="46" t="str">
        <x:v>month</x:v>
      </x:c>
      <x:c r="G290" s="46" t="n">
        <x:v>30</x:v>
      </x:c>
      <x:c r="H290" s="46" t="str"/>
      <x:c r="I290" s="47" t="b">
        <x:v>0</x:v>
      </x:c>
      <x:c r="J290" s="46" t="str">
        <x:v>medium</x:v>
      </x:c>
      <x:c r="K290" s="53" t="str"/>
      <x:c r="L290" s="53" t="str"/>
      <x:c r="M290" s="46" t="str"/>
      <x:c r="N290" s="46" t="str"/>
      <x:c r="O290" s="46" t="str"/>
      <x:c r="P290" s="46" t="str">
        <x:v>אחזקה מונעת - מערכת מילוי ויבוש אמייל.xlsx</x:v>
      </x:c>
      <x:c r="Q290" s="46" t="str">
        <x:v>מסוע עלי יבוש אמייל</x:v>
      </x:c>
      <x:c r="R290" s="46" t="n">
        <x:v>289</x:v>
      </x:c>
      <x:c r="S290" s="47" t="b">
        <x:v>1</x:v>
      </x:c>
    </x:row>
    <x:row r="291">
      <x:c r="A291" s="46" t="str">
        <x:v>PM-00288</x:v>
      </x:c>
      <x:c r="B291" s="46" t="str">
        <x:v>בדיקת ווי טליה לתקינות</x:v>
      </x:c>
      <x:c r="C291" s="46" t="str">
        <x:v>בדיקת ווי טליה לתקינות</x:v>
      </x:c>
      <x:c r="D291" s="46" t="str">
        <x:v>maintenance</x:v>
      </x:c>
      <x:c r="E291" s="46" t="n">
        <x:v>1</x:v>
      </x:c>
      <x:c r="F291" s="46" t="str">
        <x:v>month</x:v>
      </x:c>
      <x:c r="G291" s="46" t="n">
        <x:v>60</x:v>
      </x:c>
      <x:c r="H291" s="46" t="str"/>
      <x:c r="I291" s="47" t="b">
        <x:v>0</x:v>
      </x:c>
      <x:c r="J291" s="46" t="str">
        <x:v>medium</x:v>
      </x:c>
      <x:c r="K291" s="53" t="str"/>
      <x:c r="L291" s="53" t="str"/>
      <x:c r="M291" s="46" t="str"/>
      <x:c r="N291" s="46" t="str"/>
      <x:c r="O291" s="46" t="str"/>
      <x:c r="P291" s="46" t="str">
        <x:v>אחזקה מונעת - מערכת מילוי ויבוש אמייל.xlsx</x:v>
      </x:c>
      <x:c r="Q291" s="46" t="str">
        <x:v>מסוע עלי יבוש אמייל</x:v>
      </x:c>
      <x:c r="R291" s="46" t="n">
        <x:v>290</x:v>
      </x:c>
      <x:c r="S291" s="47" t="b">
        <x:v>1</x:v>
      </x:c>
    </x:row>
    <x:row r="292">
      <x:c r="A292" s="46" t="str">
        <x:v>PM-00289</x:v>
      </x:c>
      <x:c r="B292" s="46" t="str">
        <x:v>בדיקת ויזואליט לקנסטרוקציה ומונוראל לתקינות</x:v>
      </x:c>
      <x:c r="C292" s="46" t="str">
        <x:v>בדיקת ויזואליט לקנסטרוקציה ומונוראל לתקינות</x:v>
      </x:c>
      <x:c r="D292" s="46" t="str">
        <x:v>maintenance</x:v>
      </x:c>
      <x:c r="E292" s="46" t="n">
        <x:v>1</x:v>
      </x:c>
      <x:c r="F292" s="46" t="str">
        <x:v>half_year</x:v>
      </x:c>
      <x:c r="G292" s="46" t="n">
        <x:v>20</x:v>
      </x:c>
      <x:c r="H292" s="46" t="str"/>
      <x:c r="I292" s="47" t="b">
        <x:v>0</x:v>
      </x:c>
      <x:c r="J292" s="46" t="str">
        <x:v>medium</x:v>
      </x:c>
      <x:c r="K292" s="53" t="str"/>
      <x:c r="L292" s="53" t="str"/>
      <x:c r="M292" s="46" t="str"/>
      <x:c r="N292" s="46" t="str"/>
      <x:c r="O292" s="46" t="str"/>
      <x:c r="P292" s="46" t="str">
        <x:v>אחזקה מונעת - מערכת מילוי ויבוש אמייל.xlsx</x:v>
      </x:c>
      <x:c r="Q292" s="46" t="str">
        <x:v>מסוע עלי יבוש אמייל</x:v>
      </x:c>
      <x:c r="R292" s="46" t="n">
        <x:v>291</x:v>
      </x:c>
      <x:c r="S292" s="47" t="b">
        <x:v>1</x:v>
      </x:c>
    </x:row>
    <x:row r="293">
      <x:c r="A293" s="46" t="str">
        <x:v>PM-00290</x:v>
      </x:c>
      <x:c r="B293" s="46" t="str">
        <x:v>בדיקת אביזרי חשמל לתקינות (כולל כבלים ומחברים)</x:v>
      </x:c>
      <x:c r="C293" s="46" t="str">
        <x:v>בדיקת אביזרי חשמל לתקינות (כולל כבלים ומחברים)</x:v>
      </x:c>
      <x:c r="D293" s="46" t="str">
        <x:v>maintenance</x:v>
      </x:c>
      <x:c r="E293" s="46" t="n">
        <x:v>1</x:v>
      </x:c>
      <x:c r="F293" s="46" t="str">
        <x:v>month</x:v>
      </x:c>
      <x:c r="G293" s="46" t="n">
        <x:v>30</x:v>
      </x:c>
      <x:c r="H293" s="46" t="str"/>
      <x:c r="I293" s="47" t="b">
        <x:v>0</x:v>
      </x:c>
      <x:c r="J293" s="46" t="str">
        <x:v>medium</x:v>
      </x:c>
      <x:c r="K293" s="53" t="str"/>
      <x:c r="L293" s="53" t="str"/>
      <x:c r="M293" s="46" t="str"/>
      <x:c r="N293" s="46" t="str"/>
      <x:c r="O293" s="46" t="str"/>
      <x:c r="P293" s="46" t="str">
        <x:v>אחזקה מונעת - מערכת מילוי ויבוש אמייל.xlsx</x:v>
      </x:c>
      <x:c r="Q293" s="46" t="str">
        <x:v>מסוע עלי יבוש אמייל</x:v>
      </x:c>
      <x:c r="R293" s="46" t="n">
        <x:v>292</x:v>
      </x:c>
      <x:c r="S293" s="47" t="b">
        <x:v>1</x:v>
      </x:c>
    </x:row>
    <x:row r="294">
      <x:c r="A294" s="46" t="str">
        <x:v>PM-00291</x:v>
      </x:c>
      <x:c r="B294" s="46" t="str">
        <x:v>בדיקה וניקוי ארון חשמל ע"י אויר</x:v>
      </x:c>
      <x:c r="C294" s="46" t="str">
        <x:v>בדיקה וניקוי ארון חשמל ע"י אויר</x:v>
      </x:c>
      <x:c r="D294" s="46" t="str">
        <x:v>maintenance</x:v>
      </x:c>
      <x:c r="E294" s="46" t="n">
        <x:v>1</x:v>
      </x:c>
      <x:c r="F294" s="46" t="str">
        <x:v>month</x:v>
      </x:c>
      <x:c r="G294" s="46" t="n">
        <x:v>60</x:v>
      </x:c>
      <x:c r="H294" s="46" t="str"/>
      <x:c r="I294" s="47" t="b">
        <x:v>0</x:v>
      </x:c>
      <x:c r="J294" s="46" t="str">
        <x:v>medium</x:v>
      </x:c>
      <x:c r="K294" s="53" t="str"/>
      <x:c r="L294" s="53" t="str"/>
      <x:c r="M294" s="46" t="str"/>
      <x:c r="N294" s="46" t="str"/>
      <x:c r="O294" s="46" t="str"/>
      <x:c r="P294" s="46" t="str">
        <x:v>אחזקה מונעת - מערכת מילוי ויבוש אמייל.xlsx</x:v>
      </x:c>
      <x:c r="Q294" s="46" t="str">
        <x:v>מסוע עלי יבוש אמייל</x:v>
      </x:c>
      <x:c r="R294" s="46" t="n">
        <x:v>293</x:v>
      </x:c>
      <x:c r="S294" s="47" t="b">
        <x:v>1</x:v>
      </x:c>
    </x:row>
    <x:row r="295">
      <x:c r="A295" s="46" t="str">
        <x:v>PM-00292</x:v>
      </x:c>
      <x:c r="B295" s="46" t="str">
        <x:v>ניקוי פתחי התעלות</x:v>
      </x:c>
      <x:c r="C295" s="46" t="str">
        <x:v>ניקוי פתחי התעלות</x:v>
      </x:c>
      <x:c r="D295" s="46" t="str">
        <x:v>operator_monitoring</x:v>
      </x:c>
      <x:c r="E295" s="46" t="n">
        <x:v>1</x:v>
      </x:c>
      <x:c r="F295" s="46" t="str">
        <x:v>week</x:v>
      </x:c>
      <x:c r="G295" s="46" t="n">
        <x:v>60</x:v>
      </x:c>
      <x:c r="H295" s="46" t="str"/>
      <x:c r="I295" s="47" t="b">
        <x:v>0</x:v>
      </x:c>
      <x:c r="J295" s="46" t="str">
        <x:v>medium</x:v>
      </x:c>
      <x:c r="K295" s="53" t="str"/>
      <x:c r="L295" s="53" t="str"/>
      <x:c r="M295" s="46" t="str"/>
      <x:c r="N295" s="46" t="str"/>
      <x:c r="O295" s="46" t="str"/>
      <x:c r="P295" s="46" t="str">
        <x:v>אחזקה מונעת - מערכת מילוי ויבוש אמייל.xlsx</x:v>
      </x:c>
      <x:c r="Q295" s="46" t="str">
        <x:v>מפוחים ותעלות ליבוש אמייל</x:v>
      </x:c>
      <x:c r="R295" s="46" t="n">
        <x:v>294</x:v>
      </x:c>
      <x:c r="S295" s="47" t="b">
        <x:v>1</x:v>
      </x:c>
    </x:row>
    <x:row r="296">
      <x:c r="A296" s="46" t="str">
        <x:v>PM-00293</x:v>
      </x:c>
      <x:c r="B296" s="46" t="str">
        <x:v>בדיקה וניקוז מלקודות גז</x:v>
      </x:c>
      <x:c r="C296" s="46" t="str">
        <x:v>בדיקה וניקוז מלקודות גז</x:v>
      </x:c>
      <x:c r="D296" s="46" t="str">
        <x:v>maintenance</x:v>
      </x:c>
      <x:c r="E296" s="46" t="n">
        <x:v>1</x:v>
      </x:c>
      <x:c r="F296" s="46" t="str">
        <x:v>week</x:v>
      </x:c>
      <x:c r="G296" s="46" t="n">
        <x:v>60</x:v>
      </x:c>
      <x:c r="H296" s="46" t="str"/>
      <x:c r="I296" s="47" t="b">
        <x:v>0</x:v>
      </x:c>
      <x:c r="J296" s="46" t="str">
        <x:v>medium</x:v>
      </x:c>
      <x:c r="K296" s="53" t="str"/>
      <x:c r="L296" s="53" t="str"/>
      <x:c r="M296" s="46" t="str"/>
      <x:c r="N296" s="46" t="str"/>
      <x:c r="O296" s="46" t="str"/>
      <x:c r="P296" s="46" t="str">
        <x:v>אחזקה מונעת - מערכת מילוי ויבוש אמייל.xlsx</x:v>
      </x:c>
      <x:c r="Q296" s="46" t="str">
        <x:v>מפוחים ותעלות ליבוש אמייל</x:v>
      </x:c>
      <x:c r="R296" s="46" t="n">
        <x:v>295</x:v>
      </x:c>
      <x:c r="S296" s="47" t="b">
        <x:v>1</x:v>
      </x:c>
    </x:row>
    <x:row r="297">
      <x:c r="A297" s="46" t="str">
        <x:v>PM-00294</x:v>
      </x:c>
      <x:c r="B297" s="46" t="str">
        <x:v>בדיקת תקינות התנורים והמבערים</x:v>
      </x:c>
      <x:c r="C297" s="46" t="str">
        <x:v>בדיקת תקינות התנורים והמבערים</x:v>
      </x:c>
      <x:c r="D297" s="46" t="str">
        <x:v>maintenance</x:v>
      </x:c>
      <x:c r="E297" s="46" t="n">
        <x:v>1</x:v>
      </x:c>
      <x:c r="F297" s="46" t="str">
        <x:v>month</x:v>
      </x:c>
      <x:c r="G297" s="46" t="n">
        <x:v>20</x:v>
      </x:c>
      <x:c r="H297" s="46" t="str"/>
      <x:c r="I297" s="47" t="b">
        <x:v>0</x:v>
      </x:c>
      <x:c r="J297" s="46" t="str">
        <x:v>medium</x:v>
      </x:c>
      <x:c r="K297" s="53" t="str"/>
      <x:c r="L297" s="53" t="str"/>
      <x:c r="M297" s="46" t="str"/>
      <x:c r="N297" s="46" t="str"/>
      <x:c r="O297" s="46" t="str"/>
      <x:c r="P297" s="46" t="str">
        <x:v>אחזקה מונעת - מערכת מילוי ויבוש אמייל.xlsx</x:v>
      </x:c>
      <x:c r="Q297" s="46" t="str">
        <x:v>מפוחים ותעלות ליבוש אמייל</x:v>
      </x:c>
      <x:c r="R297" s="46" t="n">
        <x:v>296</x:v>
      </x:c>
      <x:c r="S297" s="47" t="b">
        <x:v>1</x:v>
      </x:c>
    </x:row>
    <x:row r="298">
      <x:c r="A298" s="46" t="str">
        <x:v>PM-00295</x:v>
      </x:c>
      <x:c r="B298" s="46" t="str">
        <x:v>ניקוז מלקודות גז</x:v>
      </x:c>
      <x:c r="C298" s="46" t="str">
        <x:v>ניקוז מלקודות גז</x:v>
      </x:c>
      <x:c r="D298" s="46" t="str">
        <x:v>maintenance</x:v>
      </x:c>
      <x:c r="E298" s="46" t="n">
        <x:v>1</x:v>
      </x:c>
      <x:c r="F298" s="46" t="str">
        <x:v>month</x:v>
      </x:c>
      <x:c r="G298" s="46" t="n">
        <x:v>20</x:v>
      </x:c>
      <x:c r="H298" s="46" t="str"/>
      <x:c r="I298" s="47" t="b">
        <x:v>0</x:v>
      </x:c>
      <x:c r="J298" s="46" t="str">
        <x:v>medium</x:v>
      </x:c>
      <x:c r="K298" s="53" t="str"/>
      <x:c r="L298" s="53" t="str"/>
      <x:c r="M298" s="46" t="str"/>
      <x:c r="N298" s="46" t="str"/>
      <x:c r="O298" s="46" t="str"/>
      <x:c r="P298" s="46" t="str">
        <x:v>אחזקה מונעת - מערכת מילוי ויבוש אמייל.xlsx</x:v>
      </x:c>
      <x:c r="Q298" s="46" t="str">
        <x:v>מפוחים ותעלות ליבוש אמייל</x:v>
      </x:c>
      <x:c r="R298" s="46" t="n">
        <x:v>297</x:v>
      </x:c>
      <x:c r="S298" s="47" t="b">
        <x:v>1</x:v>
      </x:c>
    </x:row>
    <x:row r="299">
      <x:c r="A299" s="46" t="str">
        <x:v>PM-00296</x:v>
      </x:c>
      <x:c r="B299" s="46" t="str">
        <x:v>בדיקת זליגת גז במפוחים</x:v>
      </x:c>
      <x:c r="C299" s="46" t="str">
        <x:v>בדיקת זליגת גז במפוחים</x:v>
      </x:c>
      <x:c r="D299" s="46" t="str">
        <x:v>maintenance</x:v>
      </x:c>
      <x:c r="E299" s="46" t="n">
        <x:v>1</x:v>
      </x:c>
      <x:c r="F299" s="46" t="str">
        <x:v>month</x:v>
      </x:c>
      <x:c r="G299" s="46" t="n">
        <x:v>20</x:v>
      </x:c>
      <x:c r="H299" s="46" t="str"/>
      <x:c r="I299" s="47" t="b">
        <x:v>0</x:v>
      </x:c>
      <x:c r="J299" s="46" t="str">
        <x:v>medium</x:v>
      </x:c>
      <x:c r="K299" s="53" t="str"/>
      <x:c r="L299" s="53" t="str"/>
      <x:c r="M299" s="46" t="str"/>
      <x:c r="N299" s="46" t="str"/>
      <x:c r="O299" s="46" t="str"/>
      <x:c r="P299" s="46" t="str">
        <x:v>אחזקה מונעת - מערכת מילוי ויבוש אמייל.xlsx</x:v>
      </x:c>
      <x:c r="Q299" s="46" t="str">
        <x:v>מפוחים ותעלות ליבוש אמייל</x:v>
      </x:c>
      <x:c r="R299" s="46" t="n">
        <x:v>298</x:v>
      </x:c>
      <x:c r="S299" s="47" t="b">
        <x:v>1</x:v>
      </x:c>
    </x:row>
    <x:row r="300">
      <x:c r="A300" s="46" t="str">
        <x:v>PM-00297</x:v>
      </x:c>
      <x:c r="B300" s="46" t="str">
        <x:v>בדיקת אביזרי חשמל לתקינות (כולל כבלים ומחברים)</x:v>
      </x:c>
      <x:c r="C300" s="46" t="str">
        <x:v>בדיקת אביזרי חשמל לתקינות (כולל כבלים ומחברים)</x:v>
      </x:c>
      <x:c r="D300" s="46" t="str">
        <x:v>maintenance</x:v>
      </x:c>
      <x:c r="E300" s="46" t="n">
        <x:v>1</x:v>
      </x:c>
      <x:c r="F300" s="46" t="str">
        <x:v>month</x:v>
      </x:c>
      <x:c r="G300" s="46" t="n">
        <x:v>20</x:v>
      </x:c>
      <x:c r="H300" s="46" t="str"/>
      <x:c r="I300" s="47" t="b">
        <x:v>0</x:v>
      </x:c>
      <x:c r="J300" s="46" t="str">
        <x:v>medium</x:v>
      </x:c>
      <x:c r="K300" s="53" t="str"/>
      <x:c r="L300" s="53" t="str"/>
      <x:c r="M300" s="46" t="str"/>
      <x:c r="N300" s="46" t="str"/>
      <x:c r="O300" s="46" t="str"/>
      <x:c r="P300" s="46" t="str">
        <x:v>אחזקה מונעת - מערכת מילוי ויבוש אמייל.xlsx</x:v>
      </x:c>
      <x:c r="Q300" s="46" t="str">
        <x:v>מפוחים ותעלות ליבוש אמייל</x:v>
      </x:c>
      <x:c r="R300" s="46" t="n">
        <x:v>299</x:v>
      </x:c>
      <x:c r="S300" s="47" t="b">
        <x:v>1</x:v>
      </x:c>
    </x:row>
    <x:row r="301">
      <x:c r="A301" s="46" t="str">
        <x:v>PM-00298</x:v>
      </x:c>
      <x:c r="B301" s="46" t="str">
        <x:v>בדיקה וניקוי ארון חשמל ע"י אויר</x:v>
      </x:c>
      <x:c r="C301" s="46" t="str">
        <x:v>בדיקה וניקוי ארון חשמל ע"י אויר</x:v>
      </x:c>
      <x:c r="D301" s="46" t="str">
        <x:v>maintenance</x:v>
      </x:c>
      <x:c r="E301" s="46" t="n">
        <x:v>1</x:v>
      </x:c>
      <x:c r="F301" s="46" t="str">
        <x:v>month</x:v>
      </x:c>
      <x:c r="G301" s="46" t="n">
        <x:v>20</x:v>
      </x:c>
      <x:c r="H301" s="46" t="str"/>
      <x:c r="I301" s="47" t="b">
        <x:v>0</x:v>
      </x:c>
      <x:c r="J301" s="46" t="str">
        <x:v>medium</x:v>
      </x:c>
      <x:c r="K301" s="53" t="str"/>
      <x:c r="L301" s="53" t="str"/>
      <x:c r="M301" s="46" t="str"/>
      <x:c r="N301" s="46" t="str"/>
      <x:c r="O301" s="46" t="str"/>
      <x:c r="P301" s="46" t="str">
        <x:v>אחזקה מונעת - מערכת מילוי ויבוש אמייל.xlsx</x:v>
      </x:c>
      <x:c r="Q301" s="46" t="str">
        <x:v>מפוחים ותעלות ליבוש אמייל</x:v>
      </x:c>
      <x:c r="R301" s="46" t="n">
        <x:v>300</x:v>
      </x:c>
      <x:c r="S301" s="47" t="b">
        <x:v>1</x:v>
      </x:c>
    </x:row>
    <x:row r="302">
      <x:c r="A302" s="46" t="str">
        <x:v>PM-00299</x:v>
      </x:c>
      <x:c r="B302" s="46" t="str">
        <x:v>בדיקת עבודה תקינה לרעשים חריגים</x:v>
      </x:c>
      <x:c r="C302" s="46" t="str">
        <x:v>בדיקת עבודה תקינה לרעשים חריגים</x:v>
      </x:c>
      <x:c r="D302" s="46" t="str">
        <x:v>operator_monitoring</x:v>
      </x:c>
      <x:c r="E302" s="46" t="n">
        <x:v>1</x:v>
      </x:c>
      <x:c r="F302" s="46" t="str">
        <x:v>day</x:v>
      </x:c>
      <x:c r="G302" s="46" t="n">
        <x:v>10</x:v>
      </x:c>
      <x:c r="H302" s="46" t="str"/>
      <x:c r="I302" s="47" t="b">
        <x:v>0</x:v>
      </x:c>
      <x:c r="J302" s="46" t="str">
        <x:v>medium</x:v>
      </x:c>
      <x:c r="K302" s="53" t="str"/>
      <x:c r="L302" s="53" t="str"/>
      <x:c r="M302" s="46" t="str"/>
      <x:c r="N302" s="46" t="str"/>
      <x:c r="O302" s="46" t="str"/>
      <x:c r="P302" s="46" t="str">
        <x:v>אחזקה מונעת - מערכת מילוי ויבוש אמייל.xlsx</x:v>
      </x:c>
      <x:c r="Q302" s="46" t="str">
        <x:v>חדר מגרסות והכנת אימייל</x:v>
      </x:c>
      <x:c r="R302" s="46" t="n">
        <x:v>301</x:v>
      </x:c>
      <x:c r="S302" s="47" t="b">
        <x:v>1</x:v>
      </x:c>
    </x:row>
    <x:row r="303">
      <x:c r="A303" s="46" t="str">
        <x:v>PM-00300</x:v>
      </x:c>
      <x:c r="B303" s="46" t="str">
        <x:v>ניקוי המערכת מעודפי אימייל</x:v>
      </x:c>
      <x:c r="C303" s="46" t="str">
        <x:v>ניקוי המערכת מעודפי אימייל</x:v>
      </x:c>
      <x:c r="D303" s="46" t="str">
        <x:v>operator_monitoring</x:v>
      </x:c>
      <x:c r="E303" s="46" t="n">
        <x:v>1</x:v>
      </x:c>
      <x:c r="F303" s="46" t="str">
        <x:v>day</x:v>
      </x:c>
      <x:c r="G303" s="46" t="n">
        <x:v>20</x:v>
      </x:c>
      <x:c r="H303" s="46" t="str"/>
      <x:c r="I303" s="47" t="b">
        <x:v>0</x:v>
      </x:c>
      <x:c r="J303" s="46" t="str">
        <x:v>medium</x:v>
      </x:c>
      <x:c r="K303" s="53" t="str"/>
      <x:c r="L303" s="53" t="str"/>
      <x:c r="M303" s="46" t="str"/>
      <x:c r="N303" s="46" t="str"/>
      <x:c r="O303" s="46" t="str"/>
      <x:c r="P303" s="46" t="str">
        <x:v>אחזקה מונעת - מערכת מילוי ויבוש אמייל.xlsx</x:v>
      </x:c>
      <x:c r="Q303" s="46" t="str">
        <x:v>חדר מגרסות והכנת אימייל</x:v>
      </x:c>
      <x:c r="R303" s="46" t="n">
        <x:v>302</x:v>
      </x:c>
      <x:c r="S303" s="47" t="b">
        <x:v>1</x:v>
      </x:c>
    </x:row>
    <x:row r="304">
      <x:c r="A304" s="46" t="str">
        <x:v>PM-00301</x:v>
      </x:c>
      <x:c r="B304" s="46" t="str">
        <x:v>ניקוי במת הרמה מיספריים מגופים זרים</x:v>
      </x:c>
      <x:c r="C304" s="46" t="str">
        <x:v>ניקוי במת הרמה מיספריים מגופים זרים</x:v>
      </x:c>
      <x:c r="D304" s="46" t="str">
        <x:v>operator_monitoring</x:v>
      </x:c>
      <x:c r="E304" s="46" t="n">
        <x:v>1</x:v>
      </x:c>
      <x:c r="F304" s="46" t="str">
        <x:v>week</x:v>
      </x:c>
      <x:c r="G304" s="46" t="n">
        <x:v>5</x:v>
      </x:c>
      <x:c r="H304" s="46" t="str"/>
      <x:c r="I304" s="47" t="b">
        <x:v>0</x:v>
      </x:c>
      <x:c r="J304" s="46" t="str">
        <x:v>medium</x:v>
      </x:c>
      <x:c r="K304" s="53" t="str"/>
      <x:c r="L304" s="53" t="str"/>
      <x:c r="M304" s="46" t="str"/>
      <x:c r="N304" s="46" t="str"/>
      <x:c r="O304" s="46" t="str"/>
      <x:c r="P304" s="46" t="str">
        <x:v>אחזקה מונעת - מערכת מילוי ויבוש אמייל.xlsx</x:v>
      </x:c>
      <x:c r="Q304" s="46" t="str">
        <x:v>חדר מגרסות והכנת אימייל</x:v>
      </x:c>
      <x:c r="R304" s="46" t="n">
        <x:v>303</x:v>
      </x:c>
      <x:c r="S304" s="47" t="b">
        <x:v>1</x:v>
      </x:c>
    </x:row>
    <x:row r="305">
      <x:c r="A305" s="46" t="str">
        <x:v>PM-00302</x:v>
      </x:c>
      <x:c r="B305" s="46" t="str">
        <x:v>ניקוי מערכות הנעה ע"י לחץ אויר</x:v>
      </x:c>
      <x:c r="C305" s="46" t="str">
        <x:v>ניקוי מערכות הנעה ע"י לחץ אויר</x:v>
      </x:c>
      <x:c r="D305" s="46" t="str">
        <x:v>maintenance</x:v>
      </x:c>
      <x:c r="E305" s="46" t="n">
        <x:v>1</x:v>
      </x:c>
      <x:c r="F305" s="46" t="str">
        <x:v>week</x:v>
      </x:c>
      <x:c r="G305" s="46" t="n">
        <x:v>15</x:v>
      </x:c>
      <x:c r="H305" s="46" t="str"/>
      <x:c r="I305" s="47" t="b">
        <x:v>0</x:v>
      </x:c>
      <x:c r="J305" s="46" t="str">
        <x:v>medium</x:v>
      </x:c>
      <x:c r="K305" s="53" t="str"/>
      <x:c r="L305" s="53" t="str"/>
      <x:c r="M305" s="46" t="str"/>
      <x:c r="N305" s="46" t="str"/>
      <x:c r="O305" s="46" t="str"/>
      <x:c r="P305" s="46" t="str">
        <x:v>אחזקה מונעת - מערכת מילוי ויבוש אמייל.xlsx</x:v>
      </x:c>
      <x:c r="Q305" s="46" t="str">
        <x:v>חדר מגרסות והכנת אימייל</x:v>
      </x:c>
      <x:c r="R305" s="46" t="n">
        <x:v>304</x:v>
      </x:c>
      <x:c r="S305" s="47" t="b">
        <x:v>1</x:v>
      </x:c>
    </x:row>
    <x:row r="306">
      <x:c r="A306" s="46" t="str">
        <x:v>PM-00303</x:v>
      </x:c>
      <x:c r="B306" s="46" t="str">
        <x:v>במת הרמה מספריים, בדיקה לתקינות ולנזילות שמן</x:v>
      </x:c>
      <x:c r="C306" s="46" t="str">
        <x:v>במת הרמה מספריים, בדיקה לתקינות ולנזילות שמן</x:v>
      </x:c>
      <x:c r="D306" s="46" t="str">
        <x:v>maintenance</x:v>
      </x:c>
      <x:c r="E306" s="46" t="n">
        <x:v>1</x:v>
      </x:c>
      <x:c r="F306" s="46" t="str">
        <x:v>month</x:v>
      </x:c>
      <x:c r="G306" s="46" t="n">
        <x:v>10</x:v>
      </x:c>
      <x:c r="H306" s="46" t="str"/>
      <x:c r="I306" s="47" t="b">
        <x:v>0</x:v>
      </x:c>
      <x:c r="J306" s="46" t="str">
        <x:v>medium</x:v>
      </x:c>
      <x:c r="K306" s="53" t="str"/>
      <x:c r="L306" s="53" t="str"/>
      <x:c r="M306" s="46" t="str"/>
      <x:c r="N306" s="46" t="str"/>
      <x:c r="O306" s="46" t="str"/>
      <x:c r="P306" s="46" t="str">
        <x:v>אחזקה מונעת - מערכת מילוי ויבוש אמייל.xlsx</x:v>
      </x:c>
      <x:c r="Q306" s="46" t="str">
        <x:v>חדר מגרסות והכנת אימייל</x:v>
      </x:c>
      <x:c r="R306" s="46" t="n">
        <x:v>305</x:v>
      </x:c>
      <x:c r="S306" s="47" t="b">
        <x:v>1</x:v>
      </x:c>
    </x:row>
    <x:row r="307">
      <x:c r="A307" s="46" t="str">
        <x:v>PM-00304</x:v>
      </x:c>
      <x:c r="B307" s="46" t="str">
        <x:v>ישום ספריי רצועות הנעה על הרצועות</x:v>
      </x:c>
      <x:c r="C307" s="46" t="str">
        <x:v>ישום ספריי רצועות הנעה על הרצועות</x:v>
      </x:c>
      <x:c r="D307" s="46" t="str">
        <x:v>maintenance</x:v>
      </x:c>
      <x:c r="E307" s="46" t="n">
        <x:v>1</x:v>
      </x:c>
      <x:c r="F307" s="46" t="str">
        <x:v>month</x:v>
      </x:c>
      <x:c r="G307" s="46" t="n">
        <x:v>5</x:v>
      </x:c>
      <x:c r="H307" s="46" t="str"/>
      <x:c r="I307" s="47" t="b">
        <x:v>0</x:v>
      </x:c>
      <x:c r="J307" s="46" t="str">
        <x:v>medium</x:v>
      </x:c>
      <x:c r="K307" s="53" t="str"/>
      <x:c r="L307" s="53" t="str"/>
      <x:c r="M307" s="46" t="str"/>
      <x:c r="N307" s="46" t="str"/>
      <x:c r="O307" s="46" t="str"/>
      <x:c r="P307" s="46" t="str">
        <x:v>אחזקה מונעת - מערכת מילוי ויבוש אמייל.xlsx</x:v>
      </x:c>
      <x:c r="Q307" s="46" t="str">
        <x:v>חדר מגרסות והכנת אימייל</x:v>
      </x:c>
      <x:c r="R307" s="46" t="n">
        <x:v>306</x:v>
      </x:c>
      <x:c r="S307" s="47" t="b">
        <x:v>1</x:v>
      </x:c>
    </x:row>
    <x:row r="308">
      <x:c r="A308" s="46" t="str">
        <x:v>PM-00305</x:v>
      </x:c>
      <x:c r="B308" s="46" t="str">
        <x:v>גירוז מיסבים</x:v>
      </x:c>
      <x:c r="C308" s="46" t="str">
        <x:v>גירוז מיסבים</x:v>
      </x:c>
      <x:c r="D308" s="46" t="str">
        <x:v>maintenance</x:v>
      </x:c>
      <x:c r="E308" s="46" t="n">
        <x:v>1</x:v>
      </x:c>
      <x:c r="F308" s="46" t="str">
        <x:v>month</x:v>
      </x:c>
      <x:c r="G308" s="46" t="n">
        <x:v>5</x:v>
      </x:c>
      <x:c r="H308" s="46" t="str"/>
      <x:c r="I308" s="47" t="b">
        <x:v>0</x:v>
      </x:c>
      <x:c r="J308" s="46" t="str">
        <x:v>medium</x:v>
      </x:c>
      <x:c r="K308" s="53" t="str"/>
      <x:c r="L308" s="53" t="str"/>
      <x:c r="M308" s="46" t="str"/>
      <x:c r="N308" s="46" t="str"/>
      <x:c r="O308" s="46" t="str"/>
      <x:c r="P308" s="46" t="str">
        <x:v>אחזקה מונעת - מערכת מילוי ויבוש אמייל.xlsx</x:v>
      </x:c>
      <x:c r="Q308" s="46" t="str">
        <x:v>חדר מגרסות והכנת אימייל</x:v>
      </x:c>
      <x:c r="R308" s="46" t="n">
        <x:v>307</x:v>
      </x:c>
      <x:c r="S308" s="47" t="b">
        <x:v>1</x:v>
      </x:c>
    </x:row>
    <x:row r="309">
      <x:c r="A309" s="46" t="str">
        <x:v>PM-00306</x:v>
      </x:c>
      <x:c r="B309" s="46" t="str">
        <x:v>בדיקת יחידות הנעה לתקינות (רעשים חריגים)</x:v>
      </x:c>
      <x:c r="C309" s="46" t="str">
        <x:v>בדיקת יחידות הנעה לתקינות (רעשים חריגים)</x:v>
      </x:c>
      <x:c r="D309" s="46" t="str">
        <x:v>maintenance</x:v>
      </x:c>
      <x:c r="E309" s="46" t="n">
        <x:v>1</x:v>
      </x:c>
      <x:c r="F309" s="46" t="str">
        <x:v>half_year</x:v>
      </x:c>
      <x:c r="G309" s="46" t="n">
        <x:v>10</x:v>
      </x:c>
      <x:c r="H309" s="46" t="str"/>
      <x:c r="I309" s="47" t="b">
        <x:v>0</x:v>
      </x:c>
      <x:c r="J309" s="46" t="str">
        <x:v>medium</x:v>
      </x:c>
      <x:c r="K309" s="53" t="str"/>
      <x:c r="L309" s="53" t="str"/>
      <x:c r="M309" s="46" t="str"/>
      <x:c r="N309" s="46" t="str"/>
      <x:c r="O309" s="46" t="str"/>
      <x:c r="P309" s="46" t="str">
        <x:v>אחזקה מונעת - מערכת מילוי ויבוש אמייל.xlsx</x:v>
      </x:c>
      <x:c r="Q309" s="46" t="str">
        <x:v>חדר מגרסות והכנת אימייל</x:v>
      </x:c>
      <x:c r="R309" s="46" t="n">
        <x:v>308</x:v>
      </x:c>
      <x:c r="S309" s="47" t="b">
        <x:v>1</x:v>
      </x:c>
    </x:row>
    <x:row r="310">
      <x:c r="A310" s="46" t="str">
        <x:v>PM-00307</x:v>
      </x:c>
      <x:c r="B310" s="46" t="str">
        <x:v>בדיקת בוחש במיכלי הכנת אימייל לתקינות</x:v>
      </x:c>
      <x:c r="C310" s="46" t="str">
        <x:v>בדיקת בוחש במיכלי הכנת אימייל לתקינות</x:v>
      </x:c>
      <x:c r="D310" s="46" t="str">
        <x:v>maintenance</x:v>
      </x:c>
      <x:c r="E310" s="46" t="n">
        <x:v>1</x:v>
      </x:c>
      <x:c r="F310" s="46" t="str">
        <x:v>half_year</x:v>
      </x:c>
      <x:c r="G310" s="46" t="n">
        <x:v>10</x:v>
      </x:c>
      <x:c r="H310" s="46" t="str"/>
      <x:c r="I310" s="47" t="b">
        <x:v>0</x:v>
      </x:c>
      <x:c r="J310" s="46" t="str">
        <x:v>medium</x:v>
      </x:c>
      <x:c r="K310" s="53" t="str"/>
      <x:c r="L310" s="53" t="str"/>
      <x:c r="M310" s="46" t="str"/>
      <x:c r="N310" s="46" t="str"/>
      <x:c r="O310" s="46" t="str"/>
      <x:c r="P310" s="46" t="str">
        <x:v>אחזקה מונעת - מערכת מילוי ויבוש אמייל.xlsx</x:v>
      </x:c>
      <x:c r="Q310" s="46" t="str">
        <x:v>חדר מגרסות והכנת אימייל</x:v>
      </x:c>
      <x:c r="R310" s="46" t="n">
        <x:v>309</x:v>
      </x:c>
      <x:c r="S310" s="47" t="b">
        <x:v>1</x:v>
      </x:c>
    </x:row>
    <x:row r="311">
      <x:c r="A311" s="46" t="str">
        <x:v>PM-00308</x:v>
      </x:c>
      <x:c r="B311" s="46" t="str">
        <x:v>בדיקת ומילוי שמן בגירים</x:v>
      </x:c>
      <x:c r="C311" s="46" t="str">
        <x:v>בדיקת ומילוי שמן בגירים</x:v>
      </x:c>
      <x:c r="D311" s="46" t="str">
        <x:v>maintenance</x:v>
      </x:c>
      <x:c r="E311" s="46" t="n">
        <x:v>1</x:v>
      </x:c>
      <x:c r="F311" s="46" t="str">
        <x:v>half_year</x:v>
      </x:c>
      <x:c r="G311" s="46" t="n">
        <x:v>15</x:v>
      </x:c>
      <x:c r="H311" s="46" t="str"/>
      <x:c r="I311" s="47" t="b">
        <x:v>0</x:v>
      </x:c>
      <x:c r="J311" s="46" t="str">
        <x:v>medium</x:v>
      </x:c>
      <x:c r="K311" s="53" t="str"/>
      <x:c r="L311" s="53" t="str"/>
      <x:c r="M311" s="46" t="str"/>
      <x:c r="N311" s="46" t="str"/>
      <x:c r="O311" s="46" t="str"/>
      <x:c r="P311" s="46" t="str">
        <x:v>אחזקה מונעת - מערכת מילוי ויבוש אמייל.xlsx</x:v>
      </x:c>
      <x:c r="Q311" s="46" t="str">
        <x:v>חדר מגרסות והכנת אימייל</x:v>
      </x:c>
      <x:c r="R311" s="46" t="n">
        <x:v>310</x:v>
      </x:c>
      <x:c r="S311" s="47" t="b">
        <x:v>1</x:v>
      </x:c>
    </x:row>
    <x:row r="312">
      <x:c r="A312" s="46" t="str">
        <x:v>PM-00309</x:v>
      </x:c>
      <x:c r="B312" s="46" t="str">
        <x:v>החלפת שמן בגירים</x:v>
      </x:c>
      <x:c r="C312" s="46" t="str">
        <x:v>החלפת שמן בגירים</x:v>
      </x:c>
      <x:c r="D312" s="46" t="str">
        <x:v>maintenance</x:v>
      </x:c>
      <x:c r="E312" s="46" t="n">
        <x:v>1</x:v>
      </x:c>
      <x:c r="F312" s="46" t="str">
        <x:v>year</x:v>
      </x:c>
      <x:c r="G312" s="46" t="n">
        <x:v>40</x:v>
      </x:c>
      <x:c r="H312" s="46" t="str"/>
      <x:c r="I312" s="47" t="b">
        <x:v>0</x:v>
      </x:c>
      <x:c r="J312" s="46" t="str">
        <x:v>medium</x:v>
      </x:c>
      <x:c r="K312" s="53" t="str"/>
      <x:c r="L312" s="53" t="str"/>
      <x:c r="M312" s="46" t="str"/>
      <x:c r="N312" s="46" t="str"/>
      <x:c r="O312" s="46" t="str"/>
      <x:c r="P312" s="46" t="str">
        <x:v>אחזקה מונעת - מערכת מילוי ויבוש אמייל.xlsx</x:v>
      </x:c>
      <x:c r="Q312" s="46" t="str">
        <x:v>חדר מגרסות והכנת אימייל</x:v>
      </x:c>
      <x:c r="R312" s="46" t="n">
        <x:v>311</x:v>
      </x:c>
      <x:c r="S312" s="47" t="b">
        <x:v>1</x:v>
      </x:c>
    </x:row>
    <x:row r="313">
      <x:c r="A313" s="46" t="str">
        <x:v>PM-00310</x:v>
      </x:c>
      <x:c r="B313" s="46" t="str">
        <x:v>בדיקת אביזרי חשמל לתקינות (כולל כבלים ומחברים)</x:v>
      </x:c>
      <x:c r="C313" s="46" t="str">
        <x:v>בדיקת אביזרי חשמל לתקינות (כולל כבלים ומחברים)</x:v>
      </x:c>
      <x:c r="D313" s="46" t="str">
        <x:v>maintenance</x:v>
      </x:c>
      <x:c r="E313" s="46" t="n">
        <x:v>1</x:v>
      </x:c>
      <x:c r="F313" s="46" t="str">
        <x:v>month</x:v>
      </x:c>
      <x:c r="G313" s="46" t="n">
        <x:v>20</x:v>
      </x:c>
      <x:c r="H313" s="46" t="str"/>
      <x:c r="I313" s="47" t="b">
        <x:v>0</x:v>
      </x:c>
      <x:c r="J313" s="46" t="str">
        <x:v>medium</x:v>
      </x:c>
      <x:c r="K313" s="53" t="str"/>
      <x:c r="L313" s="53" t="str"/>
      <x:c r="M313" s="46" t="str"/>
      <x:c r="N313" s="46" t="str"/>
      <x:c r="O313" s="46" t="str"/>
      <x:c r="P313" s="46" t="str">
        <x:v>אחזקה מונעת - מערכת מילוי ויבוש אמייל.xlsx</x:v>
      </x:c>
      <x:c r="Q313" s="46" t="str">
        <x:v>חדר מגרסות והכנת אימייל</x:v>
      </x:c>
      <x:c r="R313" s="46" t="n">
        <x:v>312</x:v>
      </x:c>
      <x:c r="S313" s="47" t="b">
        <x:v>1</x:v>
      </x:c>
    </x:row>
    <x:row r="314">
      <x:c r="A314" s="46" t="str">
        <x:v>PM-00311</x:v>
      </x:c>
      <x:c r="B314" s="46" t="str">
        <x:v>במת הרמה מספריים, בדיקת גשש וכבלים לתקינות</x:v>
      </x:c>
      <x:c r="C314" s="46" t="str">
        <x:v>במת הרמה מספריים, בדיקת גשש וכבלים לתקינות</x:v>
      </x:c>
      <x:c r="D314" s="46" t="str">
        <x:v>maintenance</x:v>
      </x:c>
      <x:c r="E314" s="46" t="n">
        <x:v>1</x:v>
      </x:c>
      <x:c r="F314" s="46" t="str">
        <x:v>month</x:v>
      </x:c>
      <x:c r="G314" s="46" t="n">
        <x:v>10</x:v>
      </x:c>
      <x:c r="H314" s="46" t="str"/>
      <x:c r="I314" s="47" t="b">
        <x:v>0</x:v>
      </x:c>
      <x:c r="J314" s="46" t="str">
        <x:v>medium</x:v>
      </x:c>
      <x:c r="K314" s="53" t="str"/>
      <x:c r="L314" s="53" t="str"/>
      <x:c r="M314" s="46" t="str"/>
      <x:c r="N314" s="46" t="str"/>
      <x:c r="O314" s="46" t="str"/>
      <x:c r="P314" s="46" t="str">
        <x:v>אחזקה מונעת - מערכת מילוי ויבוש אמייל.xlsx</x:v>
      </x:c>
      <x:c r="Q314" s="46" t="str">
        <x:v>חדר מגרסות והכנת אימייל</x:v>
      </x:c>
      <x:c r="R314" s="46" t="n">
        <x:v>313</x:v>
      </x:c>
      <x:c r="S314" s="47" t="b">
        <x:v>1</x:v>
      </x:c>
    </x:row>
    <x:row r="315">
      <x:c r="A315" s="46" t="str">
        <x:v>PM-00312</x:v>
      </x:c>
      <x:c r="B315" s="46" t="str">
        <x:v>בדיקה וניקוי ארון חשמל ע"י אויר</x:v>
      </x:c>
      <x:c r="C315" s="46" t="str">
        <x:v>בדיקה וניקוי ארון חשמל ע"י אויר</x:v>
      </x:c>
      <x:c r="D315" s="46" t="str">
        <x:v>maintenance</x:v>
      </x:c>
      <x:c r="E315" s="46" t="n">
        <x:v>1</x:v>
      </x:c>
      <x:c r="F315" s="46" t="str">
        <x:v>month</x:v>
      </x:c>
      <x:c r="G315" s="46" t="n">
        <x:v>20</x:v>
      </x:c>
      <x:c r="H315" s="46" t="str"/>
      <x:c r="I315" s="47" t="b">
        <x:v>0</x:v>
      </x:c>
      <x:c r="J315" s="46" t="str">
        <x:v>medium</x:v>
      </x:c>
      <x:c r="K315" s="53" t="str"/>
      <x:c r="L315" s="53" t="str"/>
      <x:c r="M315" s="46" t="str"/>
      <x:c r="N315" s="46" t="str"/>
      <x:c r="O315" s="46" t="str"/>
      <x:c r="P315" s="46" t="str">
        <x:v>אחזקה מונעת - מערכת מילוי ויבוש אמייל.xlsx</x:v>
      </x:c>
      <x:c r="Q315" s="46" t="str">
        <x:v>חדר מגרסות והכנת אימייל</x:v>
      </x:c>
      <x:c r="R315" s="46" t="n">
        <x:v>314</x:v>
      </x:c>
      <x:c r="S315" s="47" t="b">
        <x:v>1</x:v>
      </x:c>
    </x:row>
  </x:sheetData>
  <x:mergeCells>
    <x:mergeCell ref="A1:S1"/>
  </x:mergeCells>
  <x:conditionalFormatting sqref="G4:G315">
    <x:cfRule type="expression" dxfId="0" priority="1">
      <x:formula>G4=""</x:formula>
    </x:cfRule>
  </x:conditionalFormatting>
  <x:dataValidations count="3">
    <x:dataValidation type="list" sqref="D4:D315">
      <x:formula1>"maintenance,operator_monitoring"</x:formula1>
    </x:dataValidation>
    <x:dataValidation type="list" sqref="F4:F315">
      <x:formula1>"day,week,month,quarter,half_year,year,meter,custom"</x:formula1>
    </x:dataValidation>
    <x:dataValidation type="list" sqref="J4:J315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c57be92be040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45" t="str">
        <x:v>Maintenance Plan Targets</x:v>
      </x:c>
      <x:c r="B1" s="45"/>
      <x:c r="C1" s="45"/>
      <x:c r="D1" s="45"/>
      <x:c r="E1" s="45"/>
      <x:c r="F1" s="45"/>
    </x:row>
    <x:row r="2">
      <x:c r="A2" s="46"/>
      <x:c r="B2" s="46"/>
      <x:c r="C2" s="46"/>
      <x:c r="D2" s="46"/>
      <x:c r="E2" s="46"/>
      <x:c r="F2" s="46"/>
    </x:row>
    <x:row r="3" ht="32" customHeight="1">
      <x:c r="A3" s="39" t="str">
        <x:v>target_code</x:v>
      </x:c>
      <x:c r="B3" s="39" t="str">
        <x:v>plan_code</x:v>
      </x:c>
      <x:c r="C3" s="39" t="str">
        <x:v>target_type</x:v>
      </x:c>
      <x:c r="D3" s="39" t="str">
        <x:v>asset_code</x:v>
      </x:c>
      <x:c r="E3" s="39" t="str">
        <x:v>location_code</x:v>
      </x:c>
      <x:c r="F3" s="39" t="str">
        <x:v>active</x:v>
      </x:c>
    </x:row>
    <x:row r="4">
      <x:c r="A4" s="46" t="str">
        <x:v>PT-00001</x:v>
      </x:c>
      <x:c r="B4" s="46" t="str">
        <x:v>PM-00001</x:v>
      </x:c>
      <x:c r="C4" s="46" t="str">
        <x:v>asset</x:v>
      </x:c>
      <x:c r="D4" s="46" t="str">
        <x:v>AST-0012</x:v>
      </x:c>
      <x:c r="E4" s="46" t="str"/>
      <x:c r="F4" s="47" t="b">
        <x:v>1</x:v>
      </x:c>
    </x:row>
    <x:row r="5">
      <x:c r="A5" s="46" t="str">
        <x:v>PT-00002</x:v>
      </x:c>
      <x:c r="B5" s="46" t="str">
        <x:v>PM-00002</x:v>
      </x:c>
      <x:c r="C5" s="46" t="str">
        <x:v>asset</x:v>
      </x:c>
      <x:c r="D5" s="46" t="str">
        <x:v>AST-0012</x:v>
      </x:c>
      <x:c r="E5" s="46" t="str"/>
      <x:c r="F5" s="47" t="b">
        <x:v>1</x:v>
      </x:c>
    </x:row>
    <x:row r="6">
      <x:c r="A6" s="46" t="str">
        <x:v>PT-00003</x:v>
      </x:c>
      <x:c r="B6" s="46" t="str">
        <x:v>PM-00003</x:v>
      </x:c>
      <x:c r="C6" s="46" t="str">
        <x:v>asset</x:v>
      </x:c>
      <x:c r="D6" s="46" t="str">
        <x:v>AST-0012</x:v>
      </x:c>
      <x:c r="E6" s="46" t="str"/>
      <x:c r="F6" s="47" t="b">
        <x:v>1</x:v>
      </x:c>
    </x:row>
    <x:row r="7">
      <x:c r="A7" s="46" t="str">
        <x:v>PT-00004</x:v>
      </x:c>
      <x:c r="B7" s="46" t="str">
        <x:v>PM-00004</x:v>
      </x:c>
      <x:c r="C7" s="46" t="str">
        <x:v>asset</x:v>
      </x:c>
      <x:c r="D7" s="46" t="str">
        <x:v>AST-0012</x:v>
      </x:c>
      <x:c r="E7" s="46" t="str"/>
      <x:c r="F7" s="47" t="b">
        <x:v>1</x:v>
      </x:c>
    </x:row>
    <x:row r="8">
      <x:c r="A8" s="46" t="str">
        <x:v>PT-00005</x:v>
      </x:c>
      <x:c r="B8" s="46" t="str">
        <x:v>PM-00005</x:v>
      </x:c>
      <x:c r="C8" s="46" t="str">
        <x:v>asset</x:v>
      </x:c>
      <x:c r="D8" s="46" t="str">
        <x:v>AST-0012</x:v>
      </x:c>
      <x:c r="E8" s="46" t="str"/>
      <x:c r="F8" s="47" t="b">
        <x:v>1</x:v>
      </x:c>
    </x:row>
    <x:row r="9">
      <x:c r="A9" s="46" t="str">
        <x:v>PT-00006</x:v>
      </x:c>
      <x:c r="B9" s="46" t="str">
        <x:v>PM-00006</x:v>
      </x:c>
      <x:c r="C9" s="46" t="str">
        <x:v>asset</x:v>
      </x:c>
      <x:c r="D9" s="46" t="str">
        <x:v>AST-0012</x:v>
      </x:c>
      <x:c r="E9" s="46" t="str"/>
      <x:c r="F9" s="47" t="b">
        <x:v>1</x:v>
      </x:c>
    </x:row>
    <x:row r="10">
      <x:c r="A10" s="46" t="str">
        <x:v>PT-00007</x:v>
      </x:c>
      <x:c r="B10" s="46" t="str">
        <x:v>PM-00007</x:v>
      </x:c>
      <x:c r="C10" s="46" t="str">
        <x:v>asset</x:v>
      </x:c>
      <x:c r="D10" s="46" t="str">
        <x:v>AST-0012</x:v>
      </x:c>
      <x:c r="E10" s="46" t="str"/>
      <x:c r="F10" s="47" t="b">
        <x:v>1</x:v>
      </x:c>
    </x:row>
    <x:row r="11">
      <x:c r="A11" s="46" t="str">
        <x:v>PT-00008</x:v>
      </x:c>
      <x:c r="B11" s="46" t="str">
        <x:v>PM-00008</x:v>
      </x:c>
      <x:c r="C11" s="46" t="str">
        <x:v>asset</x:v>
      </x:c>
      <x:c r="D11" s="46" t="str">
        <x:v>AST-0012</x:v>
      </x:c>
      <x:c r="E11" s="46" t="str"/>
      <x:c r="F11" s="47" t="b">
        <x:v>1</x:v>
      </x:c>
    </x:row>
    <x:row r="12">
      <x:c r="A12" s="46" t="str">
        <x:v>PT-00009</x:v>
      </x:c>
      <x:c r="B12" s="46" t="str">
        <x:v>PM-00009</x:v>
      </x:c>
      <x:c r="C12" s="46" t="str">
        <x:v>asset</x:v>
      </x:c>
      <x:c r="D12" s="46" t="str">
        <x:v>AST-0012</x:v>
      </x:c>
      <x:c r="E12" s="46" t="str"/>
      <x:c r="F12" s="47" t="b">
        <x:v>1</x:v>
      </x:c>
    </x:row>
    <x:row r="13">
      <x:c r="A13" s="46" t="str">
        <x:v>PT-00010</x:v>
      </x:c>
      <x:c r="B13" s="46" t="str">
        <x:v>PM-00010</x:v>
      </x:c>
      <x:c r="C13" s="46" t="str">
        <x:v>asset</x:v>
      </x:c>
      <x:c r="D13" s="46" t="str">
        <x:v>AST-0012</x:v>
      </x:c>
      <x:c r="E13" s="46" t="str"/>
      <x:c r="F13" s="47" t="b">
        <x:v>1</x:v>
      </x:c>
    </x:row>
    <x:row r="14">
      <x:c r="A14" s="46" t="str">
        <x:v>PT-00011</x:v>
      </x:c>
      <x:c r="B14" s="46" t="str">
        <x:v>PM-00011</x:v>
      </x:c>
      <x:c r="C14" s="46" t="str">
        <x:v>asset</x:v>
      </x:c>
      <x:c r="D14" s="46" t="str">
        <x:v>AST-0012</x:v>
      </x:c>
      <x:c r="E14" s="46" t="str"/>
      <x:c r="F14" s="47" t="b">
        <x:v>1</x:v>
      </x:c>
    </x:row>
    <x:row r="15">
      <x:c r="A15" s="46" t="str">
        <x:v>PT-00012</x:v>
      </x:c>
      <x:c r="B15" s="46" t="str">
        <x:v>PM-00012</x:v>
      </x:c>
      <x:c r="C15" s="46" t="str">
        <x:v>asset</x:v>
      </x:c>
      <x:c r="D15" s="46" t="str">
        <x:v>AST-0011</x:v>
      </x:c>
      <x:c r="E15" s="46" t="str"/>
      <x:c r="F15" s="47" t="b">
        <x:v>1</x:v>
      </x:c>
    </x:row>
    <x:row r="16">
      <x:c r="A16" s="46" t="str">
        <x:v>PT-00013</x:v>
      </x:c>
      <x:c r="B16" s="46" t="str">
        <x:v>PM-00013</x:v>
      </x:c>
      <x:c r="C16" s="46" t="str">
        <x:v>asset</x:v>
      </x:c>
      <x:c r="D16" s="46" t="str">
        <x:v>AST-0011</x:v>
      </x:c>
      <x:c r="E16" s="46" t="str"/>
      <x:c r="F16" s="47" t="b">
        <x:v>1</x:v>
      </x:c>
    </x:row>
    <x:row r="17">
      <x:c r="A17" s="46" t="str">
        <x:v>PT-00014</x:v>
      </x:c>
      <x:c r="B17" s="46" t="str">
        <x:v>PM-00014</x:v>
      </x:c>
      <x:c r="C17" s="46" t="str">
        <x:v>asset</x:v>
      </x:c>
      <x:c r="D17" s="46" t="str">
        <x:v>AST-0011</x:v>
      </x:c>
      <x:c r="E17" s="46" t="str"/>
      <x:c r="F17" s="47" t="b">
        <x:v>1</x:v>
      </x:c>
    </x:row>
    <x:row r="18">
      <x:c r="A18" s="46" t="str">
        <x:v>PT-00015</x:v>
      </x:c>
      <x:c r="B18" s="46" t="str">
        <x:v>PM-00015</x:v>
      </x:c>
      <x:c r="C18" s="46" t="str">
        <x:v>asset</x:v>
      </x:c>
      <x:c r="D18" s="46" t="str">
        <x:v>AST-0011</x:v>
      </x:c>
      <x:c r="E18" s="46" t="str"/>
      <x:c r="F18" s="47" t="b">
        <x:v>1</x:v>
      </x:c>
    </x:row>
    <x:row r="19">
      <x:c r="A19" s="46" t="str">
        <x:v>PT-00016</x:v>
      </x:c>
      <x:c r="B19" s="46" t="str">
        <x:v>PM-00016</x:v>
      </x:c>
      <x:c r="C19" s="46" t="str">
        <x:v>asset</x:v>
      </x:c>
      <x:c r="D19" s="46" t="str">
        <x:v>AST-0011</x:v>
      </x:c>
      <x:c r="E19" s="46" t="str"/>
      <x:c r="F19" s="47" t="b">
        <x:v>1</x:v>
      </x:c>
    </x:row>
    <x:row r="20">
      <x:c r="A20" s="46" t="str">
        <x:v>PT-00017</x:v>
      </x:c>
      <x:c r="B20" s="46" t="str">
        <x:v>PM-00017</x:v>
      </x:c>
      <x:c r="C20" s="46" t="str">
        <x:v>asset</x:v>
      </x:c>
      <x:c r="D20" s="46" t="str">
        <x:v>AST-0011</x:v>
      </x:c>
      <x:c r="E20" s="46" t="str"/>
      <x:c r="F20" s="47" t="b">
        <x:v>1</x:v>
      </x:c>
    </x:row>
    <x:row r="21">
      <x:c r="A21" s="46" t="str">
        <x:v>PT-00018</x:v>
      </x:c>
      <x:c r="B21" s="46" t="str">
        <x:v>PM-00018</x:v>
      </x:c>
      <x:c r="C21" s="46" t="str">
        <x:v>asset</x:v>
      </x:c>
      <x:c r="D21" s="46" t="str">
        <x:v>AST-0011</x:v>
      </x:c>
      <x:c r="E21" s="46" t="str"/>
      <x:c r="F21" s="47" t="b">
        <x:v>1</x:v>
      </x:c>
    </x:row>
    <x:row r="22">
      <x:c r="A22" s="46" t="str">
        <x:v>PT-00019</x:v>
      </x:c>
      <x:c r="B22" s="46" t="str">
        <x:v>PM-00019</x:v>
      </x:c>
      <x:c r="C22" s="46" t="str">
        <x:v>asset</x:v>
      </x:c>
      <x:c r="D22" s="46" t="str">
        <x:v>AST-0011</x:v>
      </x:c>
      <x:c r="E22" s="46" t="str"/>
      <x:c r="F22" s="47" t="b">
        <x:v>1</x:v>
      </x:c>
    </x:row>
    <x:row r="23">
      <x:c r="A23" s="46" t="str">
        <x:v>PT-00020</x:v>
      </x:c>
      <x:c r="B23" s="46" t="str">
        <x:v>PM-00020</x:v>
      </x:c>
      <x:c r="C23" s="46" t="str">
        <x:v>asset</x:v>
      </x:c>
      <x:c r="D23" s="46" t="str">
        <x:v>AST-0011</x:v>
      </x:c>
      <x:c r="E23" s="46" t="str"/>
      <x:c r="F23" s="47" t="b">
        <x:v>1</x:v>
      </x:c>
    </x:row>
    <x:row r="24">
      <x:c r="A24" s="46" t="str">
        <x:v>PT-00021</x:v>
      </x:c>
      <x:c r="B24" s="46" t="str">
        <x:v>PM-00021</x:v>
      </x:c>
      <x:c r="C24" s="46" t="str">
        <x:v>asset</x:v>
      </x:c>
      <x:c r="D24" s="46" t="str">
        <x:v>AST-0011</x:v>
      </x:c>
      <x:c r="E24" s="46" t="str"/>
      <x:c r="F24" s="47" t="b">
        <x:v>1</x:v>
      </x:c>
    </x:row>
    <x:row r="25">
      <x:c r="A25" s="46" t="str">
        <x:v>PT-00022</x:v>
      </x:c>
      <x:c r="B25" s="46" t="str">
        <x:v>PM-00022</x:v>
      </x:c>
      <x:c r="C25" s="46" t="str">
        <x:v>asset</x:v>
      </x:c>
      <x:c r="D25" s="46" t="str">
        <x:v>AST-0011</x:v>
      </x:c>
      <x:c r="E25" s="46" t="str"/>
      <x:c r="F25" s="47" t="b">
        <x:v>1</x:v>
      </x:c>
    </x:row>
    <x:row r="26">
      <x:c r="A26" s="46" t="str">
        <x:v>PT-00023</x:v>
      </x:c>
      <x:c r="B26" s="46" t="str">
        <x:v>PM-00023</x:v>
      </x:c>
      <x:c r="C26" s="46" t="str">
        <x:v>asset</x:v>
      </x:c>
      <x:c r="D26" s="46" t="str">
        <x:v>AST-0011</x:v>
      </x:c>
      <x:c r="E26" s="46" t="str"/>
      <x:c r="F26" s="47" t="b">
        <x:v>1</x:v>
      </x:c>
    </x:row>
    <x:row r="27">
      <x:c r="A27" s="46" t="str">
        <x:v>PT-00024</x:v>
      </x:c>
      <x:c r="B27" s="46" t="str">
        <x:v>PM-00024</x:v>
      </x:c>
      <x:c r="C27" s="46" t="str">
        <x:v>asset</x:v>
      </x:c>
      <x:c r="D27" s="46" t="str">
        <x:v>AST-0011</x:v>
      </x:c>
      <x:c r="E27" s="46" t="str"/>
      <x:c r="F27" s="47" t="b">
        <x:v>1</x:v>
      </x:c>
    </x:row>
    <x:row r="28">
      <x:c r="A28" s="46" t="str">
        <x:v>PT-00025</x:v>
      </x:c>
      <x:c r="B28" s="46" t="str">
        <x:v>PM-00025</x:v>
      </x:c>
      <x:c r="C28" s="46" t="str">
        <x:v>asset</x:v>
      </x:c>
      <x:c r="D28" s="46" t="str">
        <x:v>AST-0011</x:v>
      </x:c>
      <x:c r="E28" s="46" t="str"/>
      <x:c r="F28" s="47" t="b">
        <x:v>1</x:v>
      </x:c>
    </x:row>
    <x:row r="29">
      <x:c r="A29" s="46" t="str">
        <x:v>PT-00026</x:v>
      </x:c>
      <x:c r="B29" s="46" t="str">
        <x:v>PM-00026</x:v>
      </x:c>
      <x:c r="C29" s="46" t="str">
        <x:v>asset</x:v>
      </x:c>
      <x:c r="D29" s="46" t="str">
        <x:v>AST-0011</x:v>
      </x:c>
      <x:c r="E29" s="46" t="str"/>
      <x:c r="F29" s="47" t="b">
        <x:v>1</x:v>
      </x:c>
    </x:row>
    <x:row r="30">
      <x:c r="A30" s="46" t="str">
        <x:v>PT-00027</x:v>
      </x:c>
      <x:c r="B30" s="46" t="str">
        <x:v>PM-00027</x:v>
      </x:c>
      <x:c r="C30" s="46" t="str">
        <x:v>asset</x:v>
      </x:c>
      <x:c r="D30" s="46" t="str">
        <x:v>AST-0011</x:v>
      </x:c>
      <x:c r="E30" s="46" t="str"/>
      <x:c r="F30" s="47" t="b">
        <x:v>1</x:v>
      </x:c>
    </x:row>
    <x:row r="31">
      <x:c r="A31" s="46" t="str">
        <x:v>PT-00028</x:v>
      </x:c>
      <x:c r="B31" s="46" t="str">
        <x:v>PM-00028</x:v>
      </x:c>
      <x:c r="C31" s="46" t="str">
        <x:v>asset</x:v>
      </x:c>
      <x:c r="D31" s="46" t="str">
        <x:v>AST-0011</x:v>
      </x:c>
      <x:c r="E31" s="46" t="str"/>
      <x:c r="F31" s="47" t="b">
        <x:v>1</x:v>
      </x:c>
    </x:row>
    <x:row r="32">
      <x:c r="A32" s="46" t="str">
        <x:v>PT-00029</x:v>
      </x:c>
      <x:c r="B32" s="46" t="str">
        <x:v>PM-00029</x:v>
      </x:c>
      <x:c r="C32" s="46" t="str">
        <x:v>asset</x:v>
      </x:c>
      <x:c r="D32" s="46" t="str">
        <x:v>AST-0011</x:v>
      </x:c>
      <x:c r="E32" s="46" t="str"/>
      <x:c r="F32" s="47" t="b">
        <x:v>1</x:v>
      </x:c>
    </x:row>
    <x:row r="33">
      <x:c r="A33" s="46" t="str">
        <x:v>PT-00030</x:v>
      </x:c>
      <x:c r="B33" s="46" t="str">
        <x:v>PM-00030</x:v>
      </x:c>
      <x:c r="C33" s="46" t="str">
        <x:v>asset</x:v>
      </x:c>
      <x:c r="D33" s="46" t="str">
        <x:v>AST-0011</x:v>
      </x:c>
      <x:c r="E33" s="46" t="str"/>
      <x:c r="F33" s="47" t="b">
        <x:v>1</x:v>
      </x:c>
    </x:row>
    <x:row r="34">
      <x:c r="A34" s="46" t="str">
        <x:v>PT-00031</x:v>
      </x:c>
      <x:c r="B34" s="46" t="str">
        <x:v>PM-00031</x:v>
      </x:c>
      <x:c r="C34" s="46" t="str">
        <x:v>asset</x:v>
      </x:c>
      <x:c r="D34" s="46" t="str">
        <x:v>AST-0011</x:v>
      </x:c>
      <x:c r="E34" s="46" t="str"/>
      <x:c r="F34" s="47" t="b">
        <x:v>1</x:v>
      </x:c>
    </x:row>
    <x:row r="35">
      <x:c r="A35" s="46" t="str">
        <x:v>PT-00032</x:v>
      </x:c>
      <x:c r="B35" s="46" t="str">
        <x:v>PM-00032</x:v>
      </x:c>
      <x:c r="C35" s="46" t="str">
        <x:v>asset</x:v>
      </x:c>
      <x:c r="D35" s="46" t="str">
        <x:v>AST-0011</x:v>
      </x:c>
      <x:c r="E35" s="46" t="str"/>
      <x:c r="F35" s="47" t="b">
        <x:v>1</x:v>
      </x:c>
    </x:row>
    <x:row r="36">
      <x:c r="A36" s="46" t="str">
        <x:v>PT-00033</x:v>
      </x:c>
      <x:c r="B36" s="46" t="str">
        <x:v>PM-00033</x:v>
      </x:c>
      <x:c r="C36" s="46" t="str">
        <x:v>asset</x:v>
      </x:c>
      <x:c r="D36" s="46" t="str">
        <x:v>AST-0009</x:v>
      </x:c>
      <x:c r="E36" s="46" t="str"/>
      <x:c r="F36" s="47" t="b">
        <x:v>1</x:v>
      </x:c>
    </x:row>
    <x:row r="37">
      <x:c r="A37" s="46" t="str">
        <x:v>PT-00034</x:v>
      </x:c>
      <x:c r="B37" s="46" t="str">
        <x:v>PM-00034</x:v>
      </x:c>
      <x:c r="C37" s="46" t="str">
        <x:v>asset</x:v>
      </x:c>
      <x:c r="D37" s="46" t="str">
        <x:v>AST-0009</x:v>
      </x:c>
      <x:c r="E37" s="46" t="str"/>
      <x:c r="F37" s="47" t="b">
        <x:v>1</x:v>
      </x:c>
    </x:row>
    <x:row r="38">
      <x:c r="A38" s="46" t="str">
        <x:v>PT-00035</x:v>
      </x:c>
      <x:c r="B38" s="46" t="str">
        <x:v>PM-00035</x:v>
      </x:c>
      <x:c r="C38" s="46" t="str">
        <x:v>asset</x:v>
      </x:c>
      <x:c r="D38" s="46" t="str">
        <x:v>AST-0009</x:v>
      </x:c>
      <x:c r="E38" s="46" t="str"/>
      <x:c r="F38" s="47" t="b">
        <x:v>1</x:v>
      </x:c>
    </x:row>
    <x:row r="39">
      <x:c r="A39" s="46" t="str">
        <x:v>PT-00036</x:v>
      </x:c>
      <x:c r="B39" s="46" t="str">
        <x:v>PM-00036</x:v>
      </x:c>
      <x:c r="C39" s="46" t="str">
        <x:v>asset</x:v>
      </x:c>
      <x:c r="D39" s="46" t="str">
        <x:v>AST-0009</x:v>
      </x:c>
      <x:c r="E39" s="46" t="str"/>
      <x:c r="F39" s="47" t="b">
        <x:v>1</x:v>
      </x:c>
    </x:row>
    <x:row r="40">
      <x:c r="A40" s="46" t="str">
        <x:v>PT-00037</x:v>
      </x:c>
      <x:c r="B40" s="46" t="str">
        <x:v>PM-00037</x:v>
      </x:c>
      <x:c r="C40" s="46" t="str">
        <x:v>asset</x:v>
      </x:c>
      <x:c r="D40" s="46" t="str">
        <x:v>AST-0009</x:v>
      </x:c>
      <x:c r="E40" s="46" t="str"/>
      <x:c r="F40" s="47" t="b">
        <x:v>1</x:v>
      </x:c>
    </x:row>
    <x:row r="41">
      <x:c r="A41" s="46" t="str">
        <x:v>PT-00038</x:v>
      </x:c>
      <x:c r="B41" s="46" t="str">
        <x:v>PM-00038</x:v>
      </x:c>
      <x:c r="C41" s="46" t="str">
        <x:v>asset</x:v>
      </x:c>
      <x:c r="D41" s="46" t="str">
        <x:v>AST-0009</x:v>
      </x:c>
      <x:c r="E41" s="46" t="str"/>
      <x:c r="F41" s="47" t="b">
        <x:v>1</x:v>
      </x:c>
    </x:row>
    <x:row r="42">
      <x:c r="A42" s="46" t="str">
        <x:v>PT-00039</x:v>
      </x:c>
      <x:c r="B42" s="46" t="str">
        <x:v>PM-00039</x:v>
      </x:c>
      <x:c r="C42" s="46" t="str">
        <x:v>asset</x:v>
      </x:c>
      <x:c r="D42" s="46" t="str">
        <x:v>AST-0009</x:v>
      </x:c>
      <x:c r="E42" s="46" t="str"/>
      <x:c r="F42" s="47" t="b">
        <x:v>1</x:v>
      </x:c>
    </x:row>
    <x:row r="43">
      <x:c r="A43" s="46" t="str">
        <x:v>PT-00040</x:v>
      </x:c>
      <x:c r="B43" s="46" t="str">
        <x:v>PM-00040</x:v>
      </x:c>
      <x:c r="C43" s="46" t="str">
        <x:v>asset</x:v>
      </x:c>
      <x:c r="D43" s="46" t="str">
        <x:v>AST-0009</x:v>
      </x:c>
      <x:c r="E43" s="46" t="str"/>
      <x:c r="F43" s="47" t="b">
        <x:v>1</x:v>
      </x:c>
    </x:row>
    <x:row r="44">
      <x:c r="A44" s="46" t="str">
        <x:v>PT-00041</x:v>
      </x:c>
      <x:c r="B44" s="46" t="str">
        <x:v>PM-00041</x:v>
      </x:c>
      <x:c r="C44" s="46" t="str">
        <x:v>asset</x:v>
      </x:c>
      <x:c r="D44" s="46" t="str">
        <x:v>AST-0009</x:v>
      </x:c>
      <x:c r="E44" s="46" t="str"/>
      <x:c r="F44" s="47" t="b">
        <x:v>1</x:v>
      </x:c>
    </x:row>
    <x:row r="45">
      <x:c r="A45" s="46" t="str">
        <x:v>PT-00042</x:v>
      </x:c>
      <x:c r="B45" s="46" t="str">
        <x:v>PM-00042</x:v>
      </x:c>
      <x:c r="C45" s="46" t="str">
        <x:v>asset</x:v>
      </x:c>
      <x:c r="D45" s="46" t="str">
        <x:v>AST-0009</x:v>
      </x:c>
      <x:c r="E45" s="46" t="str"/>
      <x:c r="F45" s="47" t="b">
        <x:v>1</x:v>
      </x:c>
    </x:row>
    <x:row r="46">
      <x:c r="A46" s="46" t="str">
        <x:v>PT-00043</x:v>
      </x:c>
      <x:c r="B46" s="46" t="str">
        <x:v>PM-00043</x:v>
      </x:c>
      <x:c r="C46" s="46" t="str">
        <x:v>asset</x:v>
      </x:c>
      <x:c r="D46" s="46" t="str">
        <x:v>AST-0009</x:v>
      </x:c>
      <x:c r="E46" s="46" t="str"/>
      <x:c r="F46" s="47" t="b">
        <x:v>1</x:v>
      </x:c>
    </x:row>
    <x:row r="47">
      <x:c r="A47" s="46" t="str">
        <x:v>PT-00044</x:v>
      </x:c>
      <x:c r="B47" s="46" t="str">
        <x:v>PM-00044</x:v>
      </x:c>
      <x:c r="C47" s="46" t="str">
        <x:v>asset</x:v>
      </x:c>
      <x:c r="D47" s="46" t="str">
        <x:v>AST-0009</x:v>
      </x:c>
      <x:c r="E47" s="46" t="str"/>
      <x:c r="F47" s="47" t="b">
        <x:v>1</x:v>
      </x:c>
    </x:row>
    <x:row r="48">
      <x:c r="A48" s="46" t="str">
        <x:v>PT-00045</x:v>
      </x:c>
      <x:c r="B48" s="46" t="str">
        <x:v>PM-00045</x:v>
      </x:c>
      <x:c r="C48" s="46" t="str">
        <x:v>asset</x:v>
      </x:c>
      <x:c r="D48" s="46" t="str">
        <x:v>AST-0009</x:v>
      </x:c>
      <x:c r="E48" s="46" t="str"/>
      <x:c r="F48" s="47" t="b">
        <x:v>1</x:v>
      </x:c>
    </x:row>
    <x:row r="49">
      <x:c r="A49" s="46" t="str">
        <x:v>PT-00046</x:v>
      </x:c>
      <x:c r="B49" s="46" t="str">
        <x:v>PM-00046</x:v>
      </x:c>
      <x:c r="C49" s="46" t="str">
        <x:v>asset</x:v>
      </x:c>
      <x:c r="D49" s="46" t="str">
        <x:v>AST-0009</x:v>
      </x:c>
      <x:c r="E49" s="46" t="str"/>
      <x:c r="F49" s="47" t="b">
        <x:v>1</x:v>
      </x:c>
    </x:row>
    <x:row r="50">
      <x:c r="A50" s="46" t="str">
        <x:v>PT-00047</x:v>
      </x:c>
      <x:c r="B50" s="46" t="str">
        <x:v>PM-00047</x:v>
      </x:c>
      <x:c r="C50" s="46" t="str">
        <x:v>asset</x:v>
      </x:c>
      <x:c r="D50" s="46" t="str">
        <x:v>AST-0009</x:v>
      </x:c>
      <x:c r="E50" s="46" t="str"/>
      <x:c r="F50" s="47" t="b">
        <x:v>1</x:v>
      </x:c>
    </x:row>
    <x:row r="51">
      <x:c r="A51" s="46" t="str">
        <x:v>PT-00048</x:v>
      </x:c>
      <x:c r="B51" s="46" t="str">
        <x:v>PM-00048</x:v>
      </x:c>
      <x:c r="C51" s="46" t="str">
        <x:v>asset</x:v>
      </x:c>
      <x:c r="D51" s="46" t="str">
        <x:v>AST-0009</x:v>
      </x:c>
      <x:c r="E51" s="46" t="str"/>
      <x:c r="F51" s="47" t="b">
        <x:v>1</x:v>
      </x:c>
    </x:row>
    <x:row r="52">
      <x:c r="A52" s="46" t="str">
        <x:v>PT-00049</x:v>
      </x:c>
      <x:c r="B52" s="46" t="str">
        <x:v>PM-00049</x:v>
      </x:c>
      <x:c r="C52" s="46" t="str">
        <x:v>asset</x:v>
      </x:c>
      <x:c r="D52" s="46" t="str">
        <x:v>AST-0010</x:v>
      </x:c>
      <x:c r="E52" s="46" t="str"/>
      <x:c r="F52" s="47" t="b">
        <x:v>1</x:v>
      </x:c>
    </x:row>
    <x:row r="53">
      <x:c r="A53" s="46" t="str">
        <x:v>PT-00050</x:v>
      </x:c>
      <x:c r="B53" s="46" t="str">
        <x:v>PM-00050</x:v>
      </x:c>
      <x:c r="C53" s="46" t="str">
        <x:v>asset</x:v>
      </x:c>
      <x:c r="D53" s="46" t="str">
        <x:v>AST-0010</x:v>
      </x:c>
      <x:c r="E53" s="46" t="str"/>
      <x:c r="F53" s="47" t="b">
        <x:v>1</x:v>
      </x:c>
    </x:row>
    <x:row r="54">
      <x:c r="A54" s="46" t="str">
        <x:v>PT-00051</x:v>
      </x:c>
      <x:c r="B54" s="46" t="str">
        <x:v>PM-00051</x:v>
      </x:c>
      <x:c r="C54" s="46" t="str">
        <x:v>asset</x:v>
      </x:c>
      <x:c r="D54" s="46" t="str">
        <x:v>AST-0010</x:v>
      </x:c>
      <x:c r="E54" s="46" t="str"/>
      <x:c r="F54" s="47" t="b">
        <x:v>1</x:v>
      </x:c>
    </x:row>
    <x:row r="55">
      <x:c r="A55" s="46" t="str">
        <x:v>PT-00052</x:v>
      </x:c>
      <x:c r="B55" s="46" t="str">
        <x:v>PM-00052</x:v>
      </x:c>
      <x:c r="C55" s="46" t="str">
        <x:v>asset</x:v>
      </x:c>
      <x:c r="D55" s="46" t="str">
        <x:v>AST-0010</x:v>
      </x:c>
      <x:c r="E55" s="46" t="str"/>
      <x:c r="F55" s="47" t="b">
        <x:v>1</x:v>
      </x:c>
    </x:row>
    <x:row r="56">
      <x:c r="A56" s="46" t="str">
        <x:v>PT-00053</x:v>
      </x:c>
      <x:c r="B56" s="46" t="str">
        <x:v>PM-00053</x:v>
      </x:c>
      <x:c r="C56" s="46" t="str">
        <x:v>asset</x:v>
      </x:c>
      <x:c r="D56" s="46" t="str">
        <x:v>AST-0010</x:v>
      </x:c>
      <x:c r="E56" s="46" t="str"/>
      <x:c r="F56" s="47" t="b">
        <x:v>1</x:v>
      </x:c>
    </x:row>
    <x:row r="57">
      <x:c r="A57" s="46" t="str">
        <x:v>PT-00054</x:v>
      </x:c>
      <x:c r="B57" s="46" t="str">
        <x:v>PM-00054</x:v>
      </x:c>
      <x:c r="C57" s="46" t="str">
        <x:v>asset</x:v>
      </x:c>
      <x:c r="D57" s="46" t="str">
        <x:v>AST-0010</x:v>
      </x:c>
      <x:c r="E57" s="46" t="str"/>
      <x:c r="F57" s="47" t="b">
        <x:v>1</x:v>
      </x:c>
    </x:row>
    <x:row r="58">
      <x:c r="A58" s="46" t="str">
        <x:v>PT-00055</x:v>
      </x:c>
      <x:c r="B58" s="46" t="str">
        <x:v>PM-00055</x:v>
      </x:c>
      <x:c r="C58" s="46" t="str">
        <x:v>asset</x:v>
      </x:c>
      <x:c r="D58" s="46" t="str">
        <x:v>AST-0010</x:v>
      </x:c>
      <x:c r="E58" s="46" t="str"/>
      <x:c r="F58" s="47" t="b">
        <x:v>1</x:v>
      </x:c>
    </x:row>
    <x:row r="59">
      <x:c r="A59" s="46" t="str">
        <x:v>PT-00056</x:v>
      </x:c>
      <x:c r="B59" s="46" t="str">
        <x:v>PM-00056</x:v>
      </x:c>
      <x:c r="C59" s="46" t="str">
        <x:v>asset</x:v>
      </x:c>
      <x:c r="D59" s="46" t="str">
        <x:v>AST-0010</x:v>
      </x:c>
      <x:c r="E59" s="46" t="str"/>
      <x:c r="F59" s="47" t="b">
        <x:v>1</x:v>
      </x:c>
    </x:row>
    <x:row r="60">
      <x:c r="A60" s="46" t="str">
        <x:v>PT-00057</x:v>
      </x:c>
      <x:c r="B60" s="46" t="str">
        <x:v>PM-00057</x:v>
      </x:c>
      <x:c r="C60" s="46" t="str">
        <x:v>asset</x:v>
      </x:c>
      <x:c r="D60" s="46" t="str">
        <x:v>AST-0010</x:v>
      </x:c>
      <x:c r="E60" s="46" t="str"/>
      <x:c r="F60" s="47" t="b">
        <x:v>1</x:v>
      </x:c>
    </x:row>
    <x:row r="61">
      <x:c r="A61" s="46" t="str">
        <x:v>PT-00058</x:v>
      </x:c>
      <x:c r="B61" s="46" t="str">
        <x:v>PM-00058</x:v>
      </x:c>
      <x:c r="C61" s="46" t="str">
        <x:v>asset</x:v>
      </x:c>
      <x:c r="D61" s="46" t="str">
        <x:v>AST-0010</x:v>
      </x:c>
      <x:c r="E61" s="46" t="str"/>
      <x:c r="F61" s="47" t="b">
        <x:v>1</x:v>
      </x:c>
    </x:row>
    <x:row r="62">
      <x:c r="A62" s="46" t="str">
        <x:v>PT-00059</x:v>
      </x:c>
      <x:c r="B62" s="46" t="str">
        <x:v>PM-00059</x:v>
      </x:c>
      <x:c r="C62" s="46" t="str">
        <x:v>asset</x:v>
      </x:c>
      <x:c r="D62" s="46" t="str">
        <x:v>AST-0010</x:v>
      </x:c>
      <x:c r="E62" s="46" t="str"/>
      <x:c r="F62" s="47" t="b">
        <x:v>1</x:v>
      </x:c>
    </x:row>
    <x:row r="63">
      <x:c r="A63" s="46" t="str">
        <x:v>PT-00060</x:v>
      </x:c>
      <x:c r="B63" s="46" t="str">
        <x:v>PM-00060</x:v>
      </x:c>
      <x:c r="C63" s="46" t="str">
        <x:v>asset</x:v>
      </x:c>
      <x:c r="D63" s="46" t="str">
        <x:v>AST-0010</x:v>
      </x:c>
      <x:c r="E63" s="46" t="str"/>
      <x:c r="F63" s="47" t="b">
        <x:v>1</x:v>
      </x:c>
    </x:row>
    <x:row r="64">
      <x:c r="A64" s="46" t="str">
        <x:v>PT-00061</x:v>
      </x:c>
      <x:c r="B64" s="46" t="str">
        <x:v>PM-00061</x:v>
      </x:c>
      <x:c r="C64" s="46" t="str">
        <x:v>asset</x:v>
      </x:c>
      <x:c r="D64" s="46" t="str">
        <x:v>AST-0010</x:v>
      </x:c>
      <x:c r="E64" s="46" t="str"/>
      <x:c r="F64" s="47" t="b">
        <x:v>1</x:v>
      </x:c>
    </x:row>
    <x:row r="65">
      <x:c r="A65" s="46" t="str">
        <x:v>PT-00062</x:v>
      </x:c>
      <x:c r="B65" s="46" t="str">
        <x:v>PM-00062</x:v>
      </x:c>
      <x:c r="C65" s="46" t="str">
        <x:v>asset</x:v>
      </x:c>
      <x:c r="D65" s="46" t="str">
        <x:v>AST-0010</x:v>
      </x:c>
      <x:c r="E65" s="46" t="str"/>
      <x:c r="F65" s="47" t="b">
        <x:v>1</x:v>
      </x:c>
    </x:row>
    <x:row r="66">
      <x:c r="A66" s="46" t="str">
        <x:v>PT-00063</x:v>
      </x:c>
      <x:c r="B66" s="46" t="str">
        <x:v>PM-00063</x:v>
      </x:c>
      <x:c r="C66" s="46" t="str">
        <x:v>asset</x:v>
      </x:c>
      <x:c r="D66" s="46" t="str">
        <x:v>AST-0030</x:v>
      </x:c>
      <x:c r="E66" s="46" t="str"/>
      <x:c r="F66" s="47" t="b">
        <x:v>1</x:v>
      </x:c>
    </x:row>
    <x:row r="67">
      <x:c r="A67" s="46" t="str">
        <x:v>PT-00064</x:v>
      </x:c>
      <x:c r="B67" s="46" t="str">
        <x:v>PM-00064</x:v>
      </x:c>
      <x:c r="C67" s="46" t="str">
        <x:v>asset</x:v>
      </x:c>
      <x:c r="D67" s="46" t="str">
        <x:v>AST-0030</x:v>
      </x:c>
      <x:c r="E67" s="46" t="str"/>
      <x:c r="F67" s="47" t="b">
        <x:v>1</x:v>
      </x:c>
    </x:row>
    <x:row r="68">
      <x:c r="A68" s="46" t="str">
        <x:v>PT-00065</x:v>
      </x:c>
      <x:c r="B68" s="46" t="str">
        <x:v>PM-00065</x:v>
      </x:c>
      <x:c r="C68" s="46" t="str">
        <x:v>asset</x:v>
      </x:c>
      <x:c r="D68" s="46" t="str">
        <x:v>AST-0030</x:v>
      </x:c>
      <x:c r="E68" s="46" t="str"/>
      <x:c r="F68" s="47" t="b">
        <x:v>1</x:v>
      </x:c>
    </x:row>
    <x:row r="69">
      <x:c r="A69" s="46" t="str">
        <x:v>PT-00066</x:v>
      </x:c>
      <x:c r="B69" s="46" t="str">
        <x:v>PM-00066</x:v>
      </x:c>
      <x:c r="C69" s="46" t="str">
        <x:v>asset</x:v>
      </x:c>
      <x:c r="D69" s="46" t="str">
        <x:v>AST-0030</x:v>
      </x:c>
      <x:c r="E69" s="46" t="str"/>
      <x:c r="F69" s="47" t="b">
        <x:v>1</x:v>
      </x:c>
    </x:row>
    <x:row r="70">
      <x:c r="A70" s="46" t="str">
        <x:v>PT-00067</x:v>
      </x:c>
      <x:c r="B70" s="46" t="str">
        <x:v>PM-00067</x:v>
      </x:c>
      <x:c r="C70" s="46" t="str">
        <x:v>asset</x:v>
      </x:c>
      <x:c r="D70" s="46" t="str">
        <x:v>AST-0030</x:v>
      </x:c>
      <x:c r="E70" s="46" t="str"/>
      <x:c r="F70" s="47" t="b">
        <x:v>1</x:v>
      </x:c>
    </x:row>
    <x:row r="71">
      <x:c r="A71" s="46" t="str">
        <x:v>PT-00068</x:v>
      </x:c>
      <x:c r="B71" s="46" t="str">
        <x:v>PM-00068</x:v>
      </x:c>
      <x:c r="C71" s="46" t="str">
        <x:v>asset</x:v>
      </x:c>
      <x:c r="D71" s="46" t="str">
        <x:v>AST-0030</x:v>
      </x:c>
      <x:c r="E71" s="46" t="str"/>
      <x:c r="F71" s="47" t="b">
        <x:v>1</x:v>
      </x:c>
    </x:row>
    <x:row r="72">
      <x:c r="A72" s="46" t="str">
        <x:v>PT-00069</x:v>
      </x:c>
      <x:c r="B72" s="46" t="str">
        <x:v>PM-00069</x:v>
      </x:c>
      <x:c r="C72" s="46" t="str">
        <x:v>asset</x:v>
      </x:c>
      <x:c r="D72" s="46" t="str">
        <x:v>AST-0030</x:v>
      </x:c>
      <x:c r="E72" s="46" t="str"/>
      <x:c r="F72" s="47" t="b">
        <x:v>1</x:v>
      </x:c>
    </x:row>
    <x:row r="73">
      <x:c r="A73" s="46" t="str">
        <x:v>PT-00070</x:v>
      </x:c>
      <x:c r="B73" s="46" t="str">
        <x:v>PM-00070</x:v>
      </x:c>
      <x:c r="C73" s="46" t="str">
        <x:v>asset</x:v>
      </x:c>
      <x:c r="D73" s="46" t="str">
        <x:v>AST-0029</x:v>
      </x:c>
      <x:c r="E73" s="46" t="str"/>
      <x:c r="F73" s="47" t="b">
        <x:v>1</x:v>
      </x:c>
    </x:row>
    <x:row r="74">
      <x:c r="A74" s="46" t="str">
        <x:v>PT-00071</x:v>
      </x:c>
      <x:c r="B74" s="46" t="str">
        <x:v>PM-00071</x:v>
      </x:c>
      <x:c r="C74" s="46" t="str">
        <x:v>asset</x:v>
      </x:c>
      <x:c r="D74" s="46" t="str">
        <x:v>AST-0029</x:v>
      </x:c>
      <x:c r="E74" s="46" t="str"/>
      <x:c r="F74" s="47" t="b">
        <x:v>1</x:v>
      </x:c>
    </x:row>
    <x:row r="75">
      <x:c r="A75" s="46" t="str">
        <x:v>PT-00072</x:v>
      </x:c>
      <x:c r="B75" s="46" t="str">
        <x:v>PM-00072</x:v>
      </x:c>
      <x:c r="C75" s="46" t="str">
        <x:v>asset</x:v>
      </x:c>
      <x:c r="D75" s="46" t="str">
        <x:v>AST-0029</x:v>
      </x:c>
      <x:c r="E75" s="46" t="str"/>
      <x:c r="F75" s="47" t="b">
        <x:v>1</x:v>
      </x:c>
    </x:row>
    <x:row r="76">
      <x:c r="A76" s="46" t="str">
        <x:v>PT-00073</x:v>
      </x:c>
      <x:c r="B76" s="46" t="str">
        <x:v>PM-00073</x:v>
      </x:c>
      <x:c r="C76" s="46" t="str">
        <x:v>asset</x:v>
      </x:c>
      <x:c r="D76" s="46" t="str">
        <x:v>AST-0029</x:v>
      </x:c>
      <x:c r="E76" s="46" t="str"/>
      <x:c r="F76" s="47" t="b">
        <x:v>1</x:v>
      </x:c>
    </x:row>
    <x:row r="77">
      <x:c r="A77" s="46" t="str">
        <x:v>PT-00074</x:v>
      </x:c>
      <x:c r="B77" s="46" t="str">
        <x:v>PM-00074</x:v>
      </x:c>
      <x:c r="C77" s="46" t="str">
        <x:v>asset</x:v>
      </x:c>
      <x:c r="D77" s="46" t="str">
        <x:v>AST-0029</x:v>
      </x:c>
      <x:c r="E77" s="46" t="str"/>
      <x:c r="F77" s="47" t="b">
        <x:v>1</x:v>
      </x:c>
    </x:row>
    <x:row r="78">
      <x:c r="A78" s="46" t="str">
        <x:v>PT-00075</x:v>
      </x:c>
      <x:c r="B78" s="46" t="str">
        <x:v>PM-00075</x:v>
      </x:c>
      <x:c r="C78" s="46" t="str">
        <x:v>asset</x:v>
      </x:c>
      <x:c r="D78" s="46" t="str">
        <x:v>AST-0029</x:v>
      </x:c>
      <x:c r="E78" s="46" t="str"/>
      <x:c r="F78" s="47" t="b">
        <x:v>1</x:v>
      </x:c>
    </x:row>
    <x:row r="79">
      <x:c r="A79" s="46" t="str">
        <x:v>PT-00076</x:v>
      </x:c>
      <x:c r="B79" s="46" t="str">
        <x:v>PM-00076</x:v>
      </x:c>
      <x:c r="C79" s="46" t="str">
        <x:v>asset</x:v>
      </x:c>
      <x:c r="D79" s="46" t="str">
        <x:v>AST-0029</x:v>
      </x:c>
      <x:c r="E79" s="46" t="str"/>
      <x:c r="F79" s="47" t="b">
        <x:v>1</x:v>
      </x:c>
    </x:row>
    <x:row r="80">
      <x:c r="A80" s="46" t="str">
        <x:v>PT-00077</x:v>
      </x:c>
      <x:c r="B80" s="46" t="str">
        <x:v>PM-00077</x:v>
      </x:c>
      <x:c r="C80" s="46" t="str">
        <x:v>asset</x:v>
      </x:c>
      <x:c r="D80" s="46" t="str">
        <x:v>AST-0029</x:v>
      </x:c>
      <x:c r="E80" s="46" t="str"/>
      <x:c r="F80" s="47" t="b">
        <x:v>1</x:v>
      </x:c>
    </x:row>
    <x:row r="81">
      <x:c r="A81" s="46" t="str">
        <x:v>PT-00078</x:v>
      </x:c>
      <x:c r="B81" s="46" t="str">
        <x:v>PM-00078</x:v>
      </x:c>
      <x:c r="C81" s="46" t="str">
        <x:v>asset</x:v>
      </x:c>
      <x:c r="D81" s="46" t="str">
        <x:v>AST-0029</x:v>
      </x:c>
      <x:c r="E81" s="46" t="str"/>
      <x:c r="F81" s="47" t="b">
        <x:v>1</x:v>
      </x:c>
    </x:row>
    <x:row r="82">
      <x:c r="A82" s="46" t="str">
        <x:v>PT-00079</x:v>
      </x:c>
      <x:c r="B82" s="46" t="str">
        <x:v>PM-00079</x:v>
      </x:c>
      <x:c r="C82" s="46" t="str">
        <x:v>asset</x:v>
      </x:c>
      <x:c r="D82" s="46" t="str">
        <x:v>AST-0029</x:v>
      </x:c>
      <x:c r="E82" s="46" t="str"/>
      <x:c r="F82" s="47" t="b">
        <x:v>1</x:v>
      </x:c>
    </x:row>
    <x:row r="83">
      <x:c r="A83" s="46" t="str">
        <x:v>PT-00080</x:v>
      </x:c>
      <x:c r="B83" s="46" t="str">
        <x:v>PM-00080</x:v>
      </x:c>
      <x:c r="C83" s="46" t="str">
        <x:v>asset</x:v>
      </x:c>
      <x:c r="D83" s="46" t="str">
        <x:v>AST-0029</x:v>
      </x:c>
      <x:c r="E83" s="46" t="str"/>
      <x:c r="F83" s="47" t="b">
        <x:v>1</x:v>
      </x:c>
    </x:row>
    <x:row r="84">
      <x:c r="A84" s="46" t="str">
        <x:v>PT-00081</x:v>
      </x:c>
      <x:c r="B84" s="46" t="str">
        <x:v>PM-00081</x:v>
      </x:c>
      <x:c r="C84" s="46" t="str">
        <x:v>asset</x:v>
      </x:c>
      <x:c r="D84" s="46" t="str">
        <x:v>AST-0031</x:v>
      </x:c>
      <x:c r="E84" s="46" t="str"/>
      <x:c r="F84" s="47" t="b">
        <x:v>1</x:v>
      </x:c>
    </x:row>
    <x:row r="85">
      <x:c r="A85" s="46" t="str">
        <x:v>PT-00082</x:v>
      </x:c>
      <x:c r="B85" s="46" t="str">
        <x:v>PM-00082</x:v>
      </x:c>
      <x:c r="C85" s="46" t="str">
        <x:v>asset</x:v>
      </x:c>
      <x:c r="D85" s="46" t="str">
        <x:v>AST-0031</x:v>
      </x:c>
      <x:c r="E85" s="46" t="str"/>
      <x:c r="F85" s="47" t="b">
        <x:v>1</x:v>
      </x:c>
    </x:row>
    <x:row r="86">
      <x:c r="A86" s="46" t="str">
        <x:v>PT-00083</x:v>
      </x:c>
      <x:c r="B86" s="46" t="str">
        <x:v>PM-00083</x:v>
      </x:c>
      <x:c r="C86" s="46" t="str">
        <x:v>asset</x:v>
      </x:c>
      <x:c r="D86" s="46" t="str">
        <x:v>AST-0031</x:v>
      </x:c>
      <x:c r="E86" s="46" t="str"/>
      <x:c r="F86" s="47" t="b">
        <x:v>1</x:v>
      </x:c>
    </x:row>
    <x:row r="87">
      <x:c r="A87" s="46" t="str">
        <x:v>PT-00084</x:v>
      </x:c>
      <x:c r="B87" s="46" t="str">
        <x:v>PM-00084</x:v>
      </x:c>
      <x:c r="C87" s="46" t="str">
        <x:v>asset</x:v>
      </x:c>
      <x:c r="D87" s="46" t="str">
        <x:v>AST-0031</x:v>
      </x:c>
      <x:c r="E87" s="46" t="str"/>
      <x:c r="F87" s="47" t="b">
        <x:v>1</x:v>
      </x:c>
    </x:row>
    <x:row r="88">
      <x:c r="A88" s="46" t="str">
        <x:v>PT-00085</x:v>
      </x:c>
      <x:c r="B88" s="46" t="str">
        <x:v>PM-00085</x:v>
      </x:c>
      <x:c r="C88" s="46" t="str">
        <x:v>asset</x:v>
      </x:c>
      <x:c r="D88" s="46" t="str">
        <x:v>AST-0031</x:v>
      </x:c>
      <x:c r="E88" s="46" t="str"/>
      <x:c r="F88" s="47" t="b">
        <x:v>1</x:v>
      </x:c>
    </x:row>
    <x:row r="89">
      <x:c r="A89" s="46" t="str">
        <x:v>PT-00086</x:v>
      </x:c>
      <x:c r="B89" s="46" t="str">
        <x:v>PM-00086</x:v>
      </x:c>
      <x:c r="C89" s="46" t="str">
        <x:v>asset</x:v>
      </x:c>
      <x:c r="D89" s="46" t="str">
        <x:v>AST-0031</x:v>
      </x:c>
      <x:c r="E89" s="46" t="str"/>
      <x:c r="F89" s="47" t="b">
        <x:v>1</x:v>
      </x:c>
    </x:row>
    <x:row r="90">
      <x:c r="A90" s="46" t="str">
        <x:v>PT-00087</x:v>
      </x:c>
      <x:c r="B90" s="46" t="str">
        <x:v>PM-00087</x:v>
      </x:c>
      <x:c r="C90" s="46" t="str">
        <x:v>asset</x:v>
      </x:c>
      <x:c r="D90" s="46" t="str">
        <x:v>AST-0031</x:v>
      </x:c>
      <x:c r="E90" s="46" t="str"/>
      <x:c r="F90" s="47" t="b">
        <x:v>1</x:v>
      </x:c>
    </x:row>
    <x:row r="91">
      <x:c r="A91" s="46" t="str">
        <x:v>PT-00088</x:v>
      </x:c>
      <x:c r="B91" s="46" t="str">
        <x:v>PM-00088</x:v>
      </x:c>
      <x:c r="C91" s="46" t="str">
        <x:v>asset</x:v>
      </x:c>
      <x:c r="D91" s="46" t="str">
        <x:v>AST-0031</x:v>
      </x:c>
      <x:c r="E91" s="46" t="str"/>
      <x:c r="F91" s="47" t="b">
        <x:v>1</x:v>
      </x:c>
    </x:row>
    <x:row r="92">
      <x:c r="A92" s="46" t="str">
        <x:v>PT-00089</x:v>
      </x:c>
      <x:c r="B92" s="46" t="str">
        <x:v>PM-00089</x:v>
      </x:c>
      <x:c r="C92" s="46" t="str">
        <x:v>asset</x:v>
      </x:c>
      <x:c r="D92" s="46" t="str">
        <x:v>AST-0031</x:v>
      </x:c>
      <x:c r="E92" s="46" t="str"/>
      <x:c r="F92" s="47" t="b">
        <x:v>1</x:v>
      </x:c>
    </x:row>
    <x:row r="93">
      <x:c r="A93" s="46" t="str">
        <x:v>PT-00090</x:v>
      </x:c>
      <x:c r="B93" s="46" t="str">
        <x:v>PM-00090</x:v>
      </x:c>
      <x:c r="C93" s="46" t="str">
        <x:v>asset</x:v>
      </x:c>
      <x:c r="D93" s="46" t="str">
        <x:v>AST-0031</x:v>
      </x:c>
      <x:c r="E93" s="46" t="str"/>
      <x:c r="F93" s="47" t="b">
        <x:v>1</x:v>
      </x:c>
    </x:row>
    <x:row r="94">
      <x:c r="A94" s="46" t="str">
        <x:v>PT-00091</x:v>
      </x:c>
      <x:c r="B94" s="46" t="str">
        <x:v>PM-00091</x:v>
      </x:c>
      <x:c r="C94" s="46" t="str">
        <x:v>asset</x:v>
      </x:c>
      <x:c r="D94" s="46" t="str">
        <x:v>AST-0031</x:v>
      </x:c>
      <x:c r="E94" s="46" t="str"/>
      <x:c r="F94" s="47" t="b">
        <x:v>1</x:v>
      </x:c>
    </x:row>
    <x:row r="95">
      <x:c r="A95" s="46" t="str">
        <x:v>PT-00092</x:v>
      </x:c>
      <x:c r="B95" s="46" t="str">
        <x:v>PM-00092</x:v>
      </x:c>
      <x:c r="C95" s="46" t="str">
        <x:v>asset</x:v>
      </x:c>
      <x:c r="D95" s="46" t="str">
        <x:v>AST-0031</x:v>
      </x:c>
      <x:c r="E95" s="46" t="str"/>
      <x:c r="F95" s="47" t="b">
        <x:v>1</x:v>
      </x:c>
    </x:row>
    <x:row r="96">
      <x:c r="A96" s="46" t="str">
        <x:v>PT-00093</x:v>
      </x:c>
      <x:c r="B96" s="46" t="str">
        <x:v>PM-00093</x:v>
      </x:c>
      <x:c r="C96" s="46" t="str">
        <x:v>asset</x:v>
      </x:c>
      <x:c r="D96" s="46" t="str">
        <x:v>AST-0031</x:v>
      </x:c>
      <x:c r="E96" s="46" t="str"/>
      <x:c r="F96" s="47" t="b">
        <x:v>1</x:v>
      </x:c>
    </x:row>
    <x:row r="97">
      <x:c r="A97" s="46" t="str">
        <x:v>PT-00094</x:v>
      </x:c>
      <x:c r="B97" s="46" t="str">
        <x:v>PM-00094</x:v>
      </x:c>
      <x:c r="C97" s="46" t="str">
        <x:v>asset</x:v>
      </x:c>
      <x:c r="D97" s="46" t="str">
        <x:v>AST-0031</x:v>
      </x:c>
      <x:c r="E97" s="46" t="str"/>
      <x:c r="F97" s="47" t="b">
        <x:v>1</x:v>
      </x:c>
    </x:row>
    <x:row r="98">
      <x:c r="A98" s="46" t="str">
        <x:v>PT-00095</x:v>
      </x:c>
      <x:c r="B98" s="46" t="str">
        <x:v>PM-00095</x:v>
      </x:c>
      <x:c r="C98" s="46" t="str">
        <x:v>asset</x:v>
      </x:c>
      <x:c r="D98" s="46" t="str">
        <x:v>AST-0031</x:v>
      </x:c>
      <x:c r="E98" s="46" t="str"/>
      <x:c r="F98" s="47" t="b">
        <x:v>1</x:v>
      </x:c>
    </x:row>
    <x:row r="99">
      <x:c r="A99" s="46" t="str">
        <x:v>PT-00096</x:v>
      </x:c>
      <x:c r="B99" s="46" t="str">
        <x:v>PM-00096</x:v>
      </x:c>
      <x:c r="C99" s="46" t="str">
        <x:v>asset</x:v>
      </x:c>
      <x:c r="D99" s="46" t="str">
        <x:v>AST-0031</x:v>
      </x:c>
      <x:c r="E99" s="46" t="str"/>
      <x:c r="F99" s="47" t="b">
        <x:v>1</x:v>
      </x:c>
    </x:row>
    <x:row r="100">
      <x:c r="A100" s="46" t="str">
        <x:v>PT-00097</x:v>
      </x:c>
      <x:c r="B100" s="46" t="str">
        <x:v>PM-00097</x:v>
      </x:c>
      <x:c r="C100" s="46" t="str">
        <x:v>asset</x:v>
      </x:c>
      <x:c r="D100" s="46" t="str">
        <x:v>AST-0031</x:v>
      </x:c>
      <x:c r="E100" s="46" t="str"/>
      <x:c r="F100" s="47" t="b">
        <x:v>1</x:v>
      </x:c>
    </x:row>
    <x:row r="101">
      <x:c r="A101" s="46" t="str">
        <x:v>PT-00098</x:v>
      </x:c>
      <x:c r="B101" s="46" t="str">
        <x:v>PM-00098</x:v>
      </x:c>
      <x:c r="C101" s="46" t="str">
        <x:v>asset</x:v>
      </x:c>
      <x:c r="D101" s="46" t="str">
        <x:v>AST-0031</x:v>
      </x:c>
      <x:c r="E101" s="46" t="str"/>
      <x:c r="F101" s="47" t="b">
        <x:v>1</x:v>
      </x:c>
    </x:row>
    <x:row r="102">
      <x:c r="A102" s="46" t="str">
        <x:v>PT-00099</x:v>
      </x:c>
      <x:c r="B102" s="46" t="str">
        <x:v>PM-00099</x:v>
      </x:c>
      <x:c r="C102" s="46" t="str">
        <x:v>asset</x:v>
      </x:c>
      <x:c r="D102" s="46" t="str">
        <x:v>AST-0031</x:v>
      </x:c>
      <x:c r="E102" s="46" t="str"/>
      <x:c r="F102" s="47" t="b">
        <x:v>1</x:v>
      </x:c>
    </x:row>
    <x:row r="103">
      <x:c r="A103" s="46" t="str">
        <x:v>PT-00100</x:v>
      </x:c>
      <x:c r="B103" s="46" t="str">
        <x:v>PM-00100</x:v>
      </x:c>
      <x:c r="C103" s="46" t="str">
        <x:v>asset</x:v>
      </x:c>
      <x:c r="D103" s="46" t="str">
        <x:v>AST-0007</x:v>
      </x:c>
      <x:c r="E103" s="46" t="str"/>
      <x:c r="F103" s="47" t="b">
        <x:v>1</x:v>
      </x:c>
    </x:row>
    <x:row r="104">
      <x:c r="A104" s="46" t="str">
        <x:v>PT-00101</x:v>
      </x:c>
      <x:c r="B104" s="46" t="str">
        <x:v>PM-00101</x:v>
      </x:c>
      <x:c r="C104" s="46" t="str">
        <x:v>asset</x:v>
      </x:c>
      <x:c r="D104" s="46" t="str">
        <x:v>AST-0007</x:v>
      </x:c>
      <x:c r="E104" s="46" t="str"/>
      <x:c r="F104" s="47" t="b">
        <x:v>1</x:v>
      </x:c>
    </x:row>
    <x:row r="105">
      <x:c r="A105" s="46" t="str">
        <x:v>PT-00102</x:v>
      </x:c>
      <x:c r="B105" s="46" t="str">
        <x:v>PM-00102</x:v>
      </x:c>
      <x:c r="C105" s="46" t="str">
        <x:v>asset</x:v>
      </x:c>
      <x:c r="D105" s="46" t="str">
        <x:v>AST-0007</x:v>
      </x:c>
      <x:c r="E105" s="46" t="str"/>
      <x:c r="F105" s="47" t="b">
        <x:v>1</x:v>
      </x:c>
    </x:row>
    <x:row r="106">
      <x:c r="A106" s="46" t="str">
        <x:v>PT-00103</x:v>
      </x:c>
      <x:c r="B106" s="46" t="str">
        <x:v>PM-00103</x:v>
      </x:c>
      <x:c r="C106" s="46" t="str">
        <x:v>asset</x:v>
      </x:c>
      <x:c r="D106" s="46" t="str">
        <x:v>AST-0007</x:v>
      </x:c>
      <x:c r="E106" s="46" t="str"/>
      <x:c r="F106" s="47" t="b">
        <x:v>1</x:v>
      </x:c>
    </x:row>
    <x:row r="107">
      <x:c r="A107" s="46" t="str">
        <x:v>PT-00104</x:v>
      </x:c>
      <x:c r="B107" s="46" t="str">
        <x:v>PM-00104</x:v>
      </x:c>
      <x:c r="C107" s="46" t="str">
        <x:v>asset</x:v>
      </x:c>
      <x:c r="D107" s="46" t="str">
        <x:v>AST-0007</x:v>
      </x:c>
      <x:c r="E107" s="46" t="str"/>
      <x:c r="F107" s="47" t="b">
        <x:v>1</x:v>
      </x:c>
    </x:row>
    <x:row r="108">
      <x:c r="A108" s="46" t="str">
        <x:v>PT-00105</x:v>
      </x:c>
      <x:c r="B108" s="46" t="str">
        <x:v>PM-00105</x:v>
      </x:c>
      <x:c r="C108" s="46" t="str">
        <x:v>asset</x:v>
      </x:c>
      <x:c r="D108" s="46" t="str">
        <x:v>AST-0007</x:v>
      </x:c>
      <x:c r="E108" s="46" t="str"/>
      <x:c r="F108" s="47" t="b">
        <x:v>1</x:v>
      </x:c>
    </x:row>
    <x:row r="109">
      <x:c r="A109" s="46" t="str">
        <x:v>PT-00106</x:v>
      </x:c>
      <x:c r="B109" s="46" t="str">
        <x:v>PM-00106</x:v>
      </x:c>
      <x:c r="C109" s="46" t="str">
        <x:v>asset</x:v>
      </x:c>
      <x:c r="D109" s="46" t="str">
        <x:v>AST-0007</x:v>
      </x:c>
      <x:c r="E109" s="46" t="str"/>
      <x:c r="F109" s="47" t="b">
        <x:v>1</x:v>
      </x:c>
    </x:row>
    <x:row r="110">
      <x:c r="A110" s="46" t="str">
        <x:v>PT-00107</x:v>
      </x:c>
      <x:c r="B110" s="46" t="str">
        <x:v>PM-00107</x:v>
      </x:c>
      <x:c r="C110" s="46" t="str">
        <x:v>asset</x:v>
      </x:c>
      <x:c r="D110" s="46" t="str">
        <x:v>AST-0007</x:v>
      </x:c>
      <x:c r="E110" s="46" t="str"/>
      <x:c r="F110" s="47" t="b">
        <x:v>1</x:v>
      </x:c>
    </x:row>
    <x:row r="111">
      <x:c r="A111" s="46" t="str">
        <x:v>PT-00108</x:v>
      </x:c>
      <x:c r="B111" s="46" t="str">
        <x:v>PM-00108</x:v>
      </x:c>
      <x:c r="C111" s="46" t="str">
        <x:v>asset</x:v>
      </x:c>
      <x:c r="D111" s="46" t="str">
        <x:v>AST-0007</x:v>
      </x:c>
      <x:c r="E111" s="46" t="str"/>
      <x:c r="F111" s="47" t="b">
        <x:v>1</x:v>
      </x:c>
    </x:row>
    <x:row r="112">
      <x:c r="A112" s="46" t="str">
        <x:v>PT-00109</x:v>
      </x:c>
      <x:c r="B112" s="46" t="str">
        <x:v>PM-00109</x:v>
      </x:c>
      <x:c r="C112" s="46" t="str">
        <x:v>asset</x:v>
      </x:c>
      <x:c r="D112" s="46" t="str">
        <x:v>AST-0007</x:v>
      </x:c>
      <x:c r="E112" s="46" t="str"/>
      <x:c r="F112" s="47" t="b">
        <x:v>1</x:v>
      </x:c>
    </x:row>
    <x:row r="113">
      <x:c r="A113" s="46" t="str">
        <x:v>PT-00110</x:v>
      </x:c>
      <x:c r="B113" s="46" t="str">
        <x:v>PM-00110</x:v>
      </x:c>
      <x:c r="C113" s="46" t="str">
        <x:v>asset</x:v>
      </x:c>
      <x:c r="D113" s="46" t="str">
        <x:v>AST-0002</x:v>
      </x:c>
      <x:c r="E113" s="46" t="str"/>
      <x:c r="F113" s="47" t="b">
        <x:v>1</x:v>
      </x:c>
    </x:row>
    <x:row r="114">
      <x:c r="A114" s="46" t="str">
        <x:v>PT-00111</x:v>
      </x:c>
      <x:c r="B114" s="46" t="str">
        <x:v>PM-00111</x:v>
      </x:c>
      <x:c r="C114" s="46" t="str">
        <x:v>asset</x:v>
      </x:c>
      <x:c r="D114" s="46" t="str">
        <x:v>AST-0002</x:v>
      </x:c>
      <x:c r="E114" s="46" t="str"/>
      <x:c r="F114" s="47" t="b">
        <x:v>1</x:v>
      </x:c>
    </x:row>
    <x:row r="115">
      <x:c r="A115" s="46" t="str">
        <x:v>PT-00112</x:v>
      </x:c>
      <x:c r="B115" s="46" t="str">
        <x:v>PM-00112</x:v>
      </x:c>
      <x:c r="C115" s="46" t="str">
        <x:v>asset</x:v>
      </x:c>
      <x:c r="D115" s="46" t="str">
        <x:v>AST-0002</x:v>
      </x:c>
      <x:c r="E115" s="46" t="str"/>
      <x:c r="F115" s="47" t="b">
        <x:v>1</x:v>
      </x:c>
    </x:row>
    <x:row r="116">
      <x:c r="A116" s="46" t="str">
        <x:v>PT-00113</x:v>
      </x:c>
      <x:c r="B116" s="46" t="str">
        <x:v>PM-00113</x:v>
      </x:c>
      <x:c r="C116" s="46" t="str">
        <x:v>asset</x:v>
      </x:c>
      <x:c r="D116" s="46" t="str">
        <x:v>AST-0002</x:v>
      </x:c>
      <x:c r="E116" s="46" t="str"/>
      <x:c r="F116" s="47" t="b">
        <x:v>1</x:v>
      </x:c>
    </x:row>
    <x:row r="117">
      <x:c r="A117" s="46" t="str">
        <x:v>PT-00114</x:v>
      </x:c>
      <x:c r="B117" s="46" t="str">
        <x:v>PM-00114</x:v>
      </x:c>
      <x:c r="C117" s="46" t="str">
        <x:v>asset</x:v>
      </x:c>
      <x:c r="D117" s="46" t="str">
        <x:v>AST-0002</x:v>
      </x:c>
      <x:c r="E117" s="46" t="str"/>
      <x:c r="F117" s="47" t="b">
        <x:v>1</x:v>
      </x:c>
    </x:row>
    <x:row r="118">
      <x:c r="A118" s="46" t="str">
        <x:v>PT-00115</x:v>
      </x:c>
      <x:c r="B118" s="46" t="str">
        <x:v>PM-00115</x:v>
      </x:c>
      <x:c r="C118" s="46" t="str">
        <x:v>asset</x:v>
      </x:c>
      <x:c r="D118" s="46" t="str">
        <x:v>AST-0003</x:v>
      </x:c>
      <x:c r="E118" s="46" t="str"/>
      <x:c r="F118" s="47" t="b">
        <x:v>1</x:v>
      </x:c>
    </x:row>
    <x:row r="119">
      <x:c r="A119" s="46" t="str">
        <x:v>PT-00116</x:v>
      </x:c>
      <x:c r="B119" s="46" t="str">
        <x:v>PM-00116</x:v>
      </x:c>
      <x:c r="C119" s="46" t="str">
        <x:v>asset</x:v>
      </x:c>
      <x:c r="D119" s="46" t="str">
        <x:v>AST-0003</x:v>
      </x:c>
      <x:c r="E119" s="46" t="str"/>
      <x:c r="F119" s="47" t="b">
        <x:v>1</x:v>
      </x:c>
    </x:row>
    <x:row r="120">
      <x:c r="A120" s="46" t="str">
        <x:v>PT-00117</x:v>
      </x:c>
      <x:c r="B120" s="46" t="str">
        <x:v>PM-00117</x:v>
      </x:c>
      <x:c r="C120" s="46" t="str">
        <x:v>asset</x:v>
      </x:c>
      <x:c r="D120" s="46" t="str">
        <x:v>AST-0003</x:v>
      </x:c>
      <x:c r="E120" s="46" t="str"/>
      <x:c r="F120" s="47" t="b">
        <x:v>1</x:v>
      </x:c>
    </x:row>
    <x:row r="121">
      <x:c r="A121" s="46" t="str">
        <x:v>PT-00118</x:v>
      </x:c>
      <x:c r="B121" s="46" t="str">
        <x:v>PM-00118</x:v>
      </x:c>
      <x:c r="C121" s="46" t="str">
        <x:v>asset</x:v>
      </x:c>
      <x:c r="D121" s="46" t="str">
        <x:v>AST-0003</x:v>
      </x:c>
      <x:c r="E121" s="46" t="str"/>
      <x:c r="F121" s="47" t="b">
        <x:v>1</x:v>
      </x:c>
    </x:row>
    <x:row r="122">
      <x:c r="A122" s="46" t="str">
        <x:v>PT-00119</x:v>
      </x:c>
      <x:c r="B122" s="46" t="str">
        <x:v>PM-00119</x:v>
      </x:c>
      <x:c r="C122" s="46" t="str">
        <x:v>asset</x:v>
      </x:c>
      <x:c r="D122" s="46" t="str">
        <x:v>AST-0003</x:v>
      </x:c>
      <x:c r="E122" s="46" t="str"/>
      <x:c r="F122" s="47" t="b">
        <x:v>1</x:v>
      </x:c>
    </x:row>
    <x:row r="123">
      <x:c r="A123" s="46" t="str">
        <x:v>PT-00120</x:v>
      </x:c>
      <x:c r="B123" s="46" t="str">
        <x:v>PM-00120</x:v>
      </x:c>
      <x:c r="C123" s="46" t="str">
        <x:v>asset</x:v>
      </x:c>
      <x:c r="D123" s="46" t="str">
        <x:v>AST-0004</x:v>
      </x:c>
      <x:c r="E123" s="46" t="str"/>
      <x:c r="F123" s="47" t="b">
        <x:v>1</x:v>
      </x:c>
    </x:row>
    <x:row r="124">
      <x:c r="A124" s="46" t="str">
        <x:v>PT-00121</x:v>
      </x:c>
      <x:c r="B124" s="46" t="str">
        <x:v>PM-00121</x:v>
      </x:c>
      <x:c r="C124" s="46" t="str">
        <x:v>asset</x:v>
      </x:c>
      <x:c r="D124" s="46" t="str">
        <x:v>AST-0004</x:v>
      </x:c>
      <x:c r="E124" s="46" t="str"/>
      <x:c r="F124" s="47" t="b">
        <x:v>1</x:v>
      </x:c>
    </x:row>
    <x:row r="125">
      <x:c r="A125" s="46" t="str">
        <x:v>PT-00122</x:v>
      </x:c>
      <x:c r="B125" s="46" t="str">
        <x:v>PM-00122</x:v>
      </x:c>
      <x:c r="C125" s="46" t="str">
        <x:v>asset</x:v>
      </x:c>
      <x:c r="D125" s="46" t="str">
        <x:v>AST-0004</x:v>
      </x:c>
      <x:c r="E125" s="46" t="str"/>
      <x:c r="F125" s="47" t="b">
        <x:v>1</x:v>
      </x:c>
    </x:row>
    <x:row r="126">
      <x:c r="A126" s="46" t="str">
        <x:v>PT-00123</x:v>
      </x:c>
      <x:c r="B126" s="46" t="str">
        <x:v>PM-00123</x:v>
      </x:c>
      <x:c r="C126" s="46" t="str">
        <x:v>asset</x:v>
      </x:c>
      <x:c r="D126" s="46" t="str">
        <x:v>AST-0004</x:v>
      </x:c>
      <x:c r="E126" s="46" t="str"/>
      <x:c r="F126" s="47" t="b">
        <x:v>1</x:v>
      </x:c>
    </x:row>
    <x:row r="127">
      <x:c r="A127" s="46" t="str">
        <x:v>PT-00124</x:v>
      </x:c>
      <x:c r="B127" s="46" t="str">
        <x:v>PM-00124</x:v>
      </x:c>
      <x:c r="C127" s="46" t="str">
        <x:v>asset</x:v>
      </x:c>
      <x:c r="D127" s="46" t="str">
        <x:v>AST-0004</x:v>
      </x:c>
      <x:c r="E127" s="46" t="str"/>
      <x:c r="F127" s="47" t="b">
        <x:v>1</x:v>
      </x:c>
    </x:row>
    <x:row r="128">
      <x:c r="A128" s="46" t="str">
        <x:v>PT-00125</x:v>
      </x:c>
      <x:c r="B128" s="46" t="str">
        <x:v>PM-00125</x:v>
      </x:c>
      <x:c r="C128" s="46" t="str">
        <x:v>asset</x:v>
      </x:c>
      <x:c r="D128" s="46" t="str">
        <x:v>AST-0001</x:v>
      </x:c>
      <x:c r="E128" s="46" t="str"/>
      <x:c r="F128" s="47" t="b">
        <x:v>1</x:v>
      </x:c>
    </x:row>
    <x:row r="129">
      <x:c r="A129" s="46" t="str">
        <x:v>PT-00126</x:v>
      </x:c>
      <x:c r="B129" s="46" t="str">
        <x:v>PM-00126</x:v>
      </x:c>
      <x:c r="C129" s="46" t="str">
        <x:v>asset</x:v>
      </x:c>
      <x:c r="D129" s="46" t="str">
        <x:v>AST-0001</x:v>
      </x:c>
      <x:c r="E129" s="46" t="str"/>
      <x:c r="F129" s="47" t="b">
        <x:v>1</x:v>
      </x:c>
    </x:row>
    <x:row r="130">
      <x:c r="A130" s="46" t="str">
        <x:v>PT-00127</x:v>
      </x:c>
      <x:c r="B130" s="46" t="str">
        <x:v>PM-00127</x:v>
      </x:c>
      <x:c r="C130" s="46" t="str">
        <x:v>asset</x:v>
      </x:c>
      <x:c r="D130" s="46" t="str">
        <x:v>AST-0001</x:v>
      </x:c>
      <x:c r="E130" s="46" t="str"/>
      <x:c r="F130" s="47" t="b">
        <x:v>1</x:v>
      </x:c>
    </x:row>
    <x:row r="131">
      <x:c r="A131" s="46" t="str">
        <x:v>PT-00128</x:v>
      </x:c>
      <x:c r="B131" s="46" t="str">
        <x:v>PM-00128</x:v>
      </x:c>
      <x:c r="C131" s="46" t="str">
        <x:v>asset</x:v>
      </x:c>
      <x:c r="D131" s="46" t="str">
        <x:v>AST-0001</x:v>
      </x:c>
      <x:c r="E131" s="46" t="str"/>
      <x:c r="F131" s="47" t="b">
        <x:v>1</x:v>
      </x:c>
    </x:row>
    <x:row r="132">
      <x:c r="A132" s="46" t="str">
        <x:v>PT-00129</x:v>
      </x:c>
      <x:c r="B132" s="46" t="str">
        <x:v>PM-00129</x:v>
      </x:c>
      <x:c r="C132" s="46" t="str">
        <x:v>asset</x:v>
      </x:c>
      <x:c r="D132" s="46" t="str">
        <x:v>AST-0001</x:v>
      </x:c>
      <x:c r="E132" s="46" t="str"/>
      <x:c r="F132" s="47" t="b">
        <x:v>1</x:v>
      </x:c>
    </x:row>
    <x:row r="133">
      <x:c r="A133" s="46" t="str">
        <x:v>PT-00130</x:v>
      </x:c>
      <x:c r="B133" s="46" t="str">
        <x:v>PM-00130</x:v>
      </x:c>
      <x:c r="C133" s="46" t="str">
        <x:v>asset</x:v>
      </x:c>
      <x:c r="D133" s="46" t="str">
        <x:v>AST-0008</x:v>
      </x:c>
      <x:c r="E133" s="46" t="str"/>
      <x:c r="F133" s="47" t="b">
        <x:v>1</x:v>
      </x:c>
    </x:row>
    <x:row r="134">
      <x:c r="A134" s="46" t="str">
        <x:v>PT-00131</x:v>
      </x:c>
      <x:c r="B134" s="46" t="str">
        <x:v>PM-00131</x:v>
      </x:c>
      <x:c r="C134" s="46" t="str">
        <x:v>asset</x:v>
      </x:c>
      <x:c r="D134" s="46" t="str">
        <x:v>AST-0008</x:v>
      </x:c>
      <x:c r="E134" s="46" t="str"/>
      <x:c r="F134" s="47" t="b">
        <x:v>1</x:v>
      </x:c>
    </x:row>
    <x:row r="135">
      <x:c r="A135" s="46" t="str">
        <x:v>PT-00132</x:v>
      </x:c>
      <x:c r="B135" s="46" t="str">
        <x:v>PM-00132</x:v>
      </x:c>
      <x:c r="C135" s="46" t="str">
        <x:v>asset</x:v>
      </x:c>
      <x:c r="D135" s="46" t="str">
        <x:v>AST-0005</x:v>
      </x:c>
      <x:c r="E135" s="46" t="str"/>
      <x:c r="F135" s="47" t="b">
        <x:v>1</x:v>
      </x:c>
    </x:row>
    <x:row r="136">
      <x:c r="A136" s="46" t="str">
        <x:v>PT-00133</x:v>
      </x:c>
      <x:c r="B136" s="46" t="str">
        <x:v>PM-00133</x:v>
      </x:c>
      <x:c r="C136" s="46" t="str">
        <x:v>asset</x:v>
      </x:c>
      <x:c r="D136" s="46" t="str">
        <x:v>AST-0005</x:v>
      </x:c>
      <x:c r="E136" s="46" t="str"/>
      <x:c r="F136" s="47" t="b">
        <x:v>1</x:v>
      </x:c>
    </x:row>
    <x:row r="137">
      <x:c r="A137" s="46" t="str">
        <x:v>PT-00134</x:v>
      </x:c>
      <x:c r="B137" s="46" t="str">
        <x:v>PM-00134</x:v>
      </x:c>
      <x:c r="C137" s="46" t="str">
        <x:v>asset</x:v>
      </x:c>
      <x:c r="D137" s="46" t="str">
        <x:v>AST-0005</x:v>
      </x:c>
      <x:c r="E137" s="46" t="str"/>
      <x:c r="F137" s="47" t="b">
        <x:v>1</x:v>
      </x:c>
    </x:row>
    <x:row r="138">
      <x:c r="A138" s="46" t="str">
        <x:v>PT-00135</x:v>
      </x:c>
      <x:c r="B138" s="46" t="str">
        <x:v>PM-00135</x:v>
      </x:c>
      <x:c r="C138" s="46" t="str">
        <x:v>asset</x:v>
      </x:c>
      <x:c r="D138" s="46" t="str">
        <x:v>AST-0005</x:v>
      </x:c>
      <x:c r="E138" s="46" t="str"/>
      <x:c r="F138" s="47" t="b">
        <x:v>1</x:v>
      </x:c>
    </x:row>
    <x:row r="139">
      <x:c r="A139" s="46" t="str">
        <x:v>PT-00136</x:v>
      </x:c>
      <x:c r="B139" s="46" t="str">
        <x:v>PM-00136</x:v>
      </x:c>
      <x:c r="C139" s="46" t="str">
        <x:v>asset</x:v>
      </x:c>
      <x:c r="D139" s="46" t="str">
        <x:v>AST-0005</x:v>
      </x:c>
      <x:c r="E139" s="46" t="str"/>
      <x:c r="F139" s="47" t="b">
        <x:v>1</x:v>
      </x:c>
    </x:row>
    <x:row r="140">
      <x:c r="A140" s="46" t="str">
        <x:v>PT-00137</x:v>
      </x:c>
      <x:c r="B140" s="46" t="str">
        <x:v>PM-00137</x:v>
      </x:c>
      <x:c r="C140" s="46" t="str">
        <x:v>asset</x:v>
      </x:c>
      <x:c r="D140" s="46" t="str">
        <x:v>AST-0005</x:v>
      </x:c>
      <x:c r="E140" s="46" t="str"/>
      <x:c r="F140" s="47" t="b">
        <x:v>1</x:v>
      </x:c>
    </x:row>
    <x:row r="141">
      <x:c r="A141" s="46" t="str">
        <x:v>PT-00138</x:v>
      </x:c>
      <x:c r="B141" s="46" t="str">
        <x:v>PM-00138</x:v>
      </x:c>
      <x:c r="C141" s="46" t="str">
        <x:v>asset</x:v>
      </x:c>
      <x:c r="D141" s="46" t="str">
        <x:v>AST-0005</x:v>
      </x:c>
      <x:c r="E141" s="46" t="str"/>
      <x:c r="F141" s="47" t="b">
        <x:v>1</x:v>
      </x:c>
    </x:row>
    <x:row r="142">
      <x:c r="A142" s="46" t="str">
        <x:v>PT-00139</x:v>
      </x:c>
      <x:c r="B142" s="46" t="str">
        <x:v>PM-00139</x:v>
      </x:c>
      <x:c r="C142" s="46" t="str">
        <x:v>asset</x:v>
      </x:c>
      <x:c r="D142" s="46" t="str">
        <x:v>AST-0005</x:v>
      </x:c>
      <x:c r="E142" s="46" t="str"/>
      <x:c r="F142" s="47" t="b">
        <x:v>1</x:v>
      </x:c>
    </x:row>
    <x:row r="143">
      <x:c r="A143" s="46" t="str">
        <x:v>PT-00140</x:v>
      </x:c>
      <x:c r="B143" s="46" t="str">
        <x:v>PM-00140</x:v>
      </x:c>
      <x:c r="C143" s="46" t="str">
        <x:v>asset</x:v>
      </x:c>
      <x:c r="D143" s="46" t="str">
        <x:v>AST-0005</x:v>
      </x:c>
      <x:c r="E143" s="46" t="str"/>
      <x:c r="F143" s="47" t="b">
        <x:v>1</x:v>
      </x:c>
    </x:row>
    <x:row r="144">
      <x:c r="A144" s="46" t="str">
        <x:v>PT-00141</x:v>
      </x:c>
      <x:c r="B144" s="46" t="str">
        <x:v>PM-00141</x:v>
      </x:c>
      <x:c r="C144" s="46" t="str">
        <x:v>asset</x:v>
      </x:c>
      <x:c r="D144" s="46" t="str">
        <x:v>AST-0005</x:v>
      </x:c>
      <x:c r="E144" s="46" t="str"/>
      <x:c r="F144" s="47" t="b">
        <x:v>1</x:v>
      </x:c>
    </x:row>
    <x:row r="145">
      <x:c r="A145" s="46" t="str">
        <x:v>PT-00142</x:v>
      </x:c>
      <x:c r="B145" s="46" t="str">
        <x:v>PM-00142</x:v>
      </x:c>
      <x:c r="C145" s="46" t="str">
        <x:v>asset</x:v>
      </x:c>
      <x:c r="D145" s="46" t="str">
        <x:v>AST-0005</x:v>
      </x:c>
      <x:c r="E145" s="46" t="str"/>
      <x:c r="F145" s="47" t="b">
        <x:v>1</x:v>
      </x:c>
    </x:row>
    <x:row r="146">
      <x:c r="A146" s="46" t="str">
        <x:v>PT-00143</x:v>
      </x:c>
      <x:c r="B146" s="46" t="str">
        <x:v>PM-00143</x:v>
      </x:c>
      <x:c r="C146" s="46" t="str">
        <x:v>asset</x:v>
      </x:c>
      <x:c r="D146" s="46" t="str">
        <x:v>AST-0005</x:v>
      </x:c>
      <x:c r="E146" s="46" t="str"/>
      <x:c r="F146" s="47" t="b">
        <x:v>1</x:v>
      </x:c>
    </x:row>
    <x:row r="147">
      <x:c r="A147" s="46" t="str">
        <x:v>PT-00144</x:v>
      </x:c>
      <x:c r="B147" s="46" t="str">
        <x:v>PM-00144</x:v>
      </x:c>
      <x:c r="C147" s="46" t="str">
        <x:v>asset</x:v>
      </x:c>
      <x:c r="D147" s="46" t="str">
        <x:v>AST-0005</x:v>
      </x:c>
      <x:c r="E147" s="46" t="str"/>
      <x:c r="F147" s="47" t="b">
        <x:v>1</x:v>
      </x:c>
    </x:row>
    <x:row r="148">
      <x:c r="A148" s="46" t="str">
        <x:v>PT-00145</x:v>
      </x:c>
      <x:c r="B148" s="46" t="str">
        <x:v>PM-00145</x:v>
      </x:c>
      <x:c r="C148" s="46" t="str">
        <x:v>asset</x:v>
      </x:c>
      <x:c r="D148" s="46" t="str">
        <x:v>AST-0005</x:v>
      </x:c>
      <x:c r="E148" s="46" t="str"/>
      <x:c r="F148" s="47" t="b">
        <x:v>1</x:v>
      </x:c>
    </x:row>
    <x:row r="149">
      <x:c r="A149" s="46" t="str">
        <x:v>PT-00146</x:v>
      </x:c>
      <x:c r="B149" s="46" t="str">
        <x:v>PM-00146</x:v>
      </x:c>
      <x:c r="C149" s="46" t="str">
        <x:v>asset</x:v>
      </x:c>
      <x:c r="D149" s="46" t="str">
        <x:v>AST-0005</x:v>
      </x:c>
      <x:c r="E149" s="46" t="str"/>
      <x:c r="F149" s="47" t="b">
        <x:v>1</x:v>
      </x:c>
    </x:row>
    <x:row r="150">
      <x:c r="A150" s="46" t="str">
        <x:v>PT-00147</x:v>
      </x:c>
      <x:c r="B150" s="46" t="str">
        <x:v>PM-00147</x:v>
      </x:c>
      <x:c r="C150" s="46" t="str">
        <x:v>asset</x:v>
      </x:c>
      <x:c r="D150" s="46" t="str">
        <x:v>AST-0005</x:v>
      </x:c>
      <x:c r="E150" s="46" t="str"/>
      <x:c r="F150" s="47" t="b">
        <x:v>1</x:v>
      </x:c>
    </x:row>
    <x:row r="151">
      <x:c r="A151" s="46" t="str">
        <x:v>PT-00148</x:v>
      </x:c>
      <x:c r="B151" s="46" t="str">
        <x:v>PM-00148</x:v>
      </x:c>
      <x:c r="C151" s="46" t="str">
        <x:v>asset</x:v>
      </x:c>
      <x:c r="D151" s="46" t="str">
        <x:v>AST-0005</x:v>
      </x:c>
      <x:c r="E151" s="46" t="str"/>
      <x:c r="F151" s="47" t="b">
        <x:v>1</x:v>
      </x:c>
    </x:row>
    <x:row r="152">
      <x:c r="A152" s="46" t="str">
        <x:v>PT-00149</x:v>
      </x:c>
      <x:c r="B152" s="46" t="str">
        <x:v>PM-00149</x:v>
      </x:c>
      <x:c r="C152" s="46" t="str">
        <x:v>asset</x:v>
      </x:c>
      <x:c r="D152" s="46" t="str">
        <x:v>AST-0006</x:v>
      </x:c>
      <x:c r="E152" s="46" t="str"/>
      <x:c r="F152" s="47" t="b">
        <x:v>1</x:v>
      </x:c>
    </x:row>
    <x:row r="153">
      <x:c r="A153" s="46" t="str">
        <x:v>PT-00150</x:v>
      </x:c>
      <x:c r="B153" s="46" t="str">
        <x:v>PM-00150</x:v>
      </x:c>
      <x:c r="C153" s="46" t="str">
        <x:v>asset</x:v>
      </x:c>
      <x:c r="D153" s="46" t="str">
        <x:v>AST-0006</x:v>
      </x:c>
      <x:c r="E153" s="46" t="str"/>
      <x:c r="F153" s="47" t="b">
        <x:v>1</x:v>
      </x:c>
    </x:row>
    <x:row r="154">
      <x:c r="A154" s="46" t="str">
        <x:v>PT-00151</x:v>
      </x:c>
      <x:c r="B154" s="46" t="str">
        <x:v>PM-00151</x:v>
      </x:c>
      <x:c r="C154" s="46" t="str">
        <x:v>asset</x:v>
      </x:c>
      <x:c r="D154" s="46" t="str">
        <x:v>AST-0006</x:v>
      </x:c>
      <x:c r="E154" s="46" t="str"/>
      <x:c r="F154" s="47" t="b">
        <x:v>1</x:v>
      </x:c>
    </x:row>
    <x:row r="155">
      <x:c r="A155" s="46" t="str">
        <x:v>PT-00152</x:v>
      </x:c>
      <x:c r="B155" s="46" t="str">
        <x:v>PM-00152</x:v>
      </x:c>
      <x:c r="C155" s="46" t="str">
        <x:v>asset</x:v>
      </x:c>
      <x:c r="D155" s="46" t="str">
        <x:v>AST-0006</x:v>
      </x:c>
      <x:c r="E155" s="46" t="str"/>
      <x:c r="F155" s="47" t="b">
        <x:v>1</x:v>
      </x:c>
    </x:row>
    <x:row r="156">
      <x:c r="A156" s="46" t="str">
        <x:v>PT-00153</x:v>
      </x:c>
      <x:c r="B156" s="46" t="str">
        <x:v>PM-00153</x:v>
      </x:c>
      <x:c r="C156" s="46" t="str">
        <x:v>asset</x:v>
      </x:c>
      <x:c r="D156" s="46" t="str">
        <x:v>AST-0006</x:v>
      </x:c>
      <x:c r="E156" s="46" t="str"/>
      <x:c r="F156" s="47" t="b">
        <x:v>1</x:v>
      </x:c>
    </x:row>
    <x:row r="157">
      <x:c r="A157" s="46" t="str">
        <x:v>PT-00154</x:v>
      </x:c>
      <x:c r="B157" s="46" t="str">
        <x:v>PM-00154</x:v>
      </x:c>
      <x:c r="C157" s="46" t="str">
        <x:v>asset</x:v>
      </x:c>
      <x:c r="D157" s="46" t="str">
        <x:v>AST-0006</x:v>
      </x:c>
      <x:c r="E157" s="46" t="str"/>
      <x:c r="F157" s="47" t="b">
        <x:v>1</x:v>
      </x:c>
    </x:row>
    <x:row r="158">
      <x:c r="A158" s="46" t="str">
        <x:v>PT-00155</x:v>
      </x:c>
      <x:c r="B158" s="46" t="str">
        <x:v>PM-00155</x:v>
      </x:c>
      <x:c r="C158" s="46" t="str">
        <x:v>asset</x:v>
      </x:c>
      <x:c r="D158" s="46" t="str">
        <x:v>AST-0006</x:v>
      </x:c>
      <x:c r="E158" s="46" t="str"/>
      <x:c r="F158" s="47" t="b">
        <x:v>1</x:v>
      </x:c>
    </x:row>
    <x:row r="159">
      <x:c r="A159" s="46" t="str">
        <x:v>PT-00156</x:v>
      </x:c>
      <x:c r="B159" s="46" t="str">
        <x:v>PM-00156</x:v>
      </x:c>
      <x:c r="C159" s="46" t="str">
        <x:v>asset</x:v>
      </x:c>
      <x:c r="D159" s="46" t="str">
        <x:v>AST-0006</x:v>
      </x:c>
      <x:c r="E159" s="46" t="str"/>
      <x:c r="F159" s="47" t="b">
        <x:v>1</x:v>
      </x:c>
    </x:row>
    <x:row r="160">
      <x:c r="A160" s="46" t="str">
        <x:v>PT-00157</x:v>
      </x:c>
      <x:c r="B160" s="46" t="str">
        <x:v>PM-00157</x:v>
      </x:c>
      <x:c r="C160" s="46" t="str">
        <x:v>asset</x:v>
      </x:c>
      <x:c r="D160" s="46" t="str">
        <x:v>AST-0006</x:v>
      </x:c>
      <x:c r="E160" s="46" t="str"/>
      <x:c r="F160" s="47" t="b">
        <x:v>1</x:v>
      </x:c>
    </x:row>
    <x:row r="161">
      <x:c r="A161" s="46" t="str">
        <x:v>PT-00158</x:v>
      </x:c>
      <x:c r="B161" s="46" t="str">
        <x:v>PM-00158</x:v>
      </x:c>
      <x:c r="C161" s="46" t="str">
        <x:v>asset</x:v>
      </x:c>
      <x:c r="D161" s="46" t="str">
        <x:v>AST-0006</x:v>
      </x:c>
      <x:c r="E161" s="46" t="str"/>
      <x:c r="F161" s="47" t="b">
        <x:v>1</x:v>
      </x:c>
    </x:row>
    <x:row r="162">
      <x:c r="A162" s="46" t="str">
        <x:v>PT-00159</x:v>
      </x:c>
      <x:c r="B162" s="46" t="str">
        <x:v>PM-00159</x:v>
      </x:c>
      <x:c r="C162" s="46" t="str">
        <x:v>asset</x:v>
      </x:c>
      <x:c r="D162" s="46" t="str">
        <x:v>AST-0020</x:v>
      </x:c>
      <x:c r="E162" s="46" t="str"/>
      <x:c r="F162" s="47" t="b">
        <x:v>1</x:v>
      </x:c>
    </x:row>
    <x:row r="163">
      <x:c r="A163" s="46" t="str">
        <x:v>PT-00160</x:v>
      </x:c>
      <x:c r="B163" s="46" t="str">
        <x:v>PM-00160</x:v>
      </x:c>
      <x:c r="C163" s="46" t="str">
        <x:v>asset</x:v>
      </x:c>
      <x:c r="D163" s="46" t="str">
        <x:v>AST-0020</x:v>
      </x:c>
      <x:c r="E163" s="46" t="str"/>
      <x:c r="F163" s="47" t="b">
        <x:v>1</x:v>
      </x:c>
    </x:row>
    <x:row r="164">
      <x:c r="A164" s="46" t="str">
        <x:v>PT-00161</x:v>
      </x:c>
      <x:c r="B164" s="46" t="str">
        <x:v>PM-00161</x:v>
      </x:c>
      <x:c r="C164" s="46" t="str">
        <x:v>asset</x:v>
      </x:c>
      <x:c r="D164" s="46" t="str">
        <x:v>AST-0020</x:v>
      </x:c>
      <x:c r="E164" s="46" t="str"/>
      <x:c r="F164" s="47" t="b">
        <x:v>1</x:v>
      </x:c>
    </x:row>
    <x:row r="165">
      <x:c r="A165" s="46" t="str">
        <x:v>PT-00162</x:v>
      </x:c>
      <x:c r="B165" s="46" t="str">
        <x:v>PM-00162</x:v>
      </x:c>
      <x:c r="C165" s="46" t="str">
        <x:v>asset</x:v>
      </x:c>
      <x:c r="D165" s="46" t="str">
        <x:v>AST-0020</x:v>
      </x:c>
      <x:c r="E165" s="46" t="str"/>
      <x:c r="F165" s="47" t="b">
        <x:v>1</x:v>
      </x:c>
    </x:row>
    <x:row r="166">
      <x:c r="A166" s="46" t="str">
        <x:v>PT-00163</x:v>
      </x:c>
      <x:c r="B166" s="46" t="str">
        <x:v>PM-00163</x:v>
      </x:c>
      <x:c r="C166" s="46" t="str">
        <x:v>asset</x:v>
      </x:c>
      <x:c r="D166" s="46" t="str">
        <x:v>AST-0020</x:v>
      </x:c>
      <x:c r="E166" s="46" t="str"/>
      <x:c r="F166" s="47" t="b">
        <x:v>1</x:v>
      </x:c>
    </x:row>
    <x:row r="167">
      <x:c r="A167" s="46" t="str">
        <x:v>PT-00164</x:v>
      </x:c>
      <x:c r="B167" s="46" t="str">
        <x:v>PM-00164</x:v>
      </x:c>
      <x:c r="C167" s="46" t="str">
        <x:v>asset</x:v>
      </x:c>
      <x:c r="D167" s="46" t="str">
        <x:v>AST-0020</x:v>
      </x:c>
      <x:c r="E167" s="46" t="str"/>
      <x:c r="F167" s="47" t="b">
        <x:v>1</x:v>
      </x:c>
    </x:row>
    <x:row r="168">
      <x:c r="A168" s="46" t="str">
        <x:v>PT-00165</x:v>
      </x:c>
      <x:c r="B168" s="46" t="str">
        <x:v>PM-00165</x:v>
      </x:c>
      <x:c r="C168" s="46" t="str">
        <x:v>asset</x:v>
      </x:c>
      <x:c r="D168" s="46" t="str">
        <x:v>AST-0020</x:v>
      </x:c>
      <x:c r="E168" s="46" t="str"/>
      <x:c r="F168" s="47" t="b">
        <x:v>1</x:v>
      </x:c>
    </x:row>
    <x:row r="169">
      <x:c r="A169" s="46" t="str">
        <x:v>PT-00166</x:v>
      </x:c>
      <x:c r="B169" s="46" t="str">
        <x:v>PM-00166</x:v>
      </x:c>
      <x:c r="C169" s="46" t="str">
        <x:v>asset</x:v>
      </x:c>
      <x:c r="D169" s="46" t="str">
        <x:v>AST-0020</x:v>
      </x:c>
      <x:c r="E169" s="46" t="str"/>
      <x:c r="F169" s="47" t="b">
        <x:v>1</x:v>
      </x:c>
    </x:row>
    <x:row r="170">
      <x:c r="A170" s="46" t="str">
        <x:v>PT-00167</x:v>
      </x:c>
      <x:c r="B170" s="46" t="str">
        <x:v>PM-00167</x:v>
      </x:c>
      <x:c r="C170" s="46" t="str">
        <x:v>asset</x:v>
      </x:c>
      <x:c r="D170" s="46" t="str">
        <x:v>AST-0020</x:v>
      </x:c>
      <x:c r="E170" s="46" t="str"/>
      <x:c r="F170" s="47" t="b">
        <x:v>1</x:v>
      </x:c>
    </x:row>
    <x:row r="171">
      <x:c r="A171" s="46" t="str">
        <x:v>PT-00168</x:v>
      </x:c>
      <x:c r="B171" s="46" t="str">
        <x:v>PM-00168</x:v>
      </x:c>
      <x:c r="C171" s="46" t="str">
        <x:v>asset</x:v>
      </x:c>
      <x:c r="D171" s="46" t="str">
        <x:v>AST-0018</x:v>
      </x:c>
      <x:c r="E171" s="46" t="str"/>
      <x:c r="F171" s="47" t="b">
        <x:v>1</x:v>
      </x:c>
    </x:row>
    <x:row r="172">
      <x:c r="A172" s="46" t="str">
        <x:v>PT-00169</x:v>
      </x:c>
      <x:c r="B172" s="46" t="str">
        <x:v>PM-00169</x:v>
      </x:c>
      <x:c r="C172" s="46" t="str">
        <x:v>asset</x:v>
      </x:c>
      <x:c r="D172" s="46" t="str">
        <x:v>AST-0018</x:v>
      </x:c>
      <x:c r="E172" s="46" t="str"/>
      <x:c r="F172" s="47" t="b">
        <x:v>1</x:v>
      </x:c>
    </x:row>
    <x:row r="173">
      <x:c r="A173" s="46" t="str">
        <x:v>PT-00170</x:v>
      </x:c>
      <x:c r="B173" s="46" t="str">
        <x:v>PM-00170</x:v>
      </x:c>
      <x:c r="C173" s="46" t="str">
        <x:v>asset</x:v>
      </x:c>
      <x:c r="D173" s="46" t="str">
        <x:v>AST-0018</x:v>
      </x:c>
      <x:c r="E173" s="46" t="str"/>
      <x:c r="F173" s="47" t="b">
        <x:v>1</x:v>
      </x:c>
    </x:row>
    <x:row r="174">
      <x:c r="A174" s="46" t="str">
        <x:v>PT-00171</x:v>
      </x:c>
      <x:c r="B174" s="46" t="str">
        <x:v>PM-00171</x:v>
      </x:c>
      <x:c r="C174" s="46" t="str">
        <x:v>asset</x:v>
      </x:c>
      <x:c r="D174" s="46" t="str">
        <x:v>AST-0018</x:v>
      </x:c>
      <x:c r="E174" s="46" t="str"/>
      <x:c r="F174" s="47" t="b">
        <x:v>1</x:v>
      </x:c>
    </x:row>
    <x:row r="175">
      <x:c r="A175" s="46" t="str">
        <x:v>PT-00172</x:v>
      </x:c>
      <x:c r="B175" s="46" t="str">
        <x:v>PM-00172</x:v>
      </x:c>
      <x:c r="C175" s="46" t="str">
        <x:v>asset</x:v>
      </x:c>
      <x:c r="D175" s="46" t="str">
        <x:v>AST-0018</x:v>
      </x:c>
      <x:c r="E175" s="46" t="str"/>
      <x:c r="F175" s="47" t="b">
        <x:v>1</x:v>
      </x:c>
    </x:row>
    <x:row r="176">
      <x:c r="A176" s="46" t="str">
        <x:v>PT-00173</x:v>
      </x:c>
      <x:c r="B176" s="46" t="str">
        <x:v>PM-00173</x:v>
      </x:c>
      <x:c r="C176" s="46" t="str">
        <x:v>asset</x:v>
      </x:c>
      <x:c r="D176" s="46" t="str">
        <x:v>AST-0018</x:v>
      </x:c>
      <x:c r="E176" s="46" t="str"/>
      <x:c r="F176" s="47" t="b">
        <x:v>1</x:v>
      </x:c>
    </x:row>
    <x:row r="177">
      <x:c r="A177" s="46" t="str">
        <x:v>PT-00174</x:v>
      </x:c>
      <x:c r="B177" s="46" t="str">
        <x:v>PM-00174</x:v>
      </x:c>
      <x:c r="C177" s="46" t="str">
        <x:v>asset</x:v>
      </x:c>
      <x:c r="D177" s="46" t="str">
        <x:v>AST-0018</x:v>
      </x:c>
      <x:c r="E177" s="46" t="str"/>
      <x:c r="F177" s="47" t="b">
        <x:v>1</x:v>
      </x:c>
    </x:row>
    <x:row r="178">
      <x:c r="A178" s="46" t="str">
        <x:v>PT-00175</x:v>
      </x:c>
      <x:c r="B178" s="46" t="str">
        <x:v>PM-00175</x:v>
      </x:c>
      <x:c r="C178" s="46" t="str">
        <x:v>asset</x:v>
      </x:c>
      <x:c r="D178" s="46" t="str">
        <x:v>AST-0018</x:v>
      </x:c>
      <x:c r="E178" s="46" t="str"/>
      <x:c r="F178" s="47" t="b">
        <x:v>1</x:v>
      </x:c>
    </x:row>
    <x:row r="179">
      <x:c r="A179" s="46" t="str">
        <x:v>PT-00176</x:v>
      </x:c>
      <x:c r="B179" s="46" t="str">
        <x:v>PM-00176</x:v>
      </x:c>
      <x:c r="C179" s="46" t="str">
        <x:v>asset</x:v>
      </x:c>
      <x:c r="D179" s="46" t="str">
        <x:v>AST-0018</x:v>
      </x:c>
      <x:c r="E179" s="46" t="str"/>
      <x:c r="F179" s="47" t="b">
        <x:v>1</x:v>
      </x:c>
    </x:row>
    <x:row r="180">
      <x:c r="A180" s="46" t="str">
        <x:v>PT-00177</x:v>
      </x:c>
      <x:c r="B180" s="46" t="str">
        <x:v>PM-00177</x:v>
      </x:c>
      <x:c r="C180" s="46" t="str">
        <x:v>asset</x:v>
      </x:c>
      <x:c r="D180" s="46" t="str">
        <x:v>AST-0018</x:v>
      </x:c>
      <x:c r="E180" s="46" t="str"/>
      <x:c r="F180" s="47" t="b">
        <x:v>1</x:v>
      </x:c>
    </x:row>
    <x:row r="181">
      <x:c r="A181" s="46" t="str">
        <x:v>PT-00178</x:v>
      </x:c>
      <x:c r="B181" s="46" t="str">
        <x:v>PM-00178</x:v>
      </x:c>
      <x:c r="C181" s="46" t="str">
        <x:v>asset</x:v>
      </x:c>
      <x:c r="D181" s="46" t="str">
        <x:v>AST-0018</x:v>
      </x:c>
      <x:c r="E181" s="46" t="str"/>
      <x:c r="F181" s="47" t="b">
        <x:v>1</x:v>
      </x:c>
    </x:row>
    <x:row r="182">
      <x:c r="A182" s="46" t="str">
        <x:v>PT-00179</x:v>
      </x:c>
      <x:c r="B182" s="46" t="str">
        <x:v>PM-00179</x:v>
      </x:c>
      <x:c r="C182" s="46" t="str">
        <x:v>asset</x:v>
      </x:c>
      <x:c r="D182" s="46" t="str">
        <x:v>AST-0018</x:v>
      </x:c>
      <x:c r="E182" s="46" t="str"/>
      <x:c r="F182" s="47" t="b">
        <x:v>1</x:v>
      </x:c>
    </x:row>
    <x:row r="183">
      <x:c r="A183" s="46" t="str">
        <x:v>PT-00180</x:v>
      </x:c>
      <x:c r="B183" s="46" t="str">
        <x:v>PM-00180</x:v>
      </x:c>
      <x:c r="C183" s="46" t="str">
        <x:v>asset</x:v>
      </x:c>
      <x:c r="D183" s="46" t="str">
        <x:v>AST-0018</x:v>
      </x:c>
      <x:c r="E183" s="46" t="str"/>
      <x:c r="F183" s="47" t="b">
        <x:v>1</x:v>
      </x:c>
    </x:row>
    <x:row r="184">
      <x:c r="A184" s="46" t="str">
        <x:v>PT-00181</x:v>
      </x:c>
      <x:c r="B184" s="46" t="str">
        <x:v>PM-00181</x:v>
      </x:c>
      <x:c r="C184" s="46" t="str">
        <x:v>asset</x:v>
      </x:c>
      <x:c r="D184" s="46" t="str">
        <x:v>AST-0018</x:v>
      </x:c>
      <x:c r="E184" s="46" t="str"/>
      <x:c r="F184" s="47" t="b">
        <x:v>1</x:v>
      </x:c>
    </x:row>
    <x:row r="185">
      <x:c r="A185" s="46" t="str">
        <x:v>PT-00182</x:v>
      </x:c>
      <x:c r="B185" s="46" t="str">
        <x:v>PM-00182</x:v>
      </x:c>
      <x:c r="C185" s="46" t="str">
        <x:v>asset</x:v>
      </x:c>
      <x:c r="D185" s="46" t="str">
        <x:v>AST-0018</x:v>
      </x:c>
      <x:c r="E185" s="46" t="str"/>
      <x:c r="F185" s="47" t="b">
        <x:v>1</x:v>
      </x:c>
    </x:row>
    <x:row r="186">
      <x:c r="A186" s="46" t="str">
        <x:v>PT-00183</x:v>
      </x:c>
      <x:c r="B186" s="46" t="str">
        <x:v>PM-00183</x:v>
      </x:c>
      <x:c r="C186" s="46" t="str">
        <x:v>asset</x:v>
      </x:c>
      <x:c r="D186" s="46" t="str">
        <x:v>AST-0018</x:v>
      </x:c>
      <x:c r="E186" s="46" t="str"/>
      <x:c r="F186" s="47" t="b">
        <x:v>1</x:v>
      </x:c>
    </x:row>
    <x:row r="187">
      <x:c r="A187" s="46" t="str">
        <x:v>PT-00184</x:v>
      </x:c>
      <x:c r="B187" s="46" t="str">
        <x:v>PM-00184</x:v>
      </x:c>
      <x:c r="C187" s="46" t="str">
        <x:v>asset</x:v>
      </x:c>
      <x:c r="D187" s="46" t="str">
        <x:v>AST-0018</x:v>
      </x:c>
      <x:c r="E187" s="46" t="str"/>
      <x:c r="F187" s="47" t="b">
        <x:v>1</x:v>
      </x:c>
    </x:row>
    <x:row r="188">
      <x:c r="A188" s="46" t="str">
        <x:v>PT-00185</x:v>
      </x:c>
      <x:c r="B188" s="46" t="str">
        <x:v>PM-00185</x:v>
      </x:c>
      <x:c r="C188" s="46" t="str">
        <x:v>asset</x:v>
      </x:c>
      <x:c r="D188" s="46" t="str">
        <x:v>AST-0018</x:v>
      </x:c>
      <x:c r="E188" s="46" t="str"/>
      <x:c r="F188" s="47" t="b">
        <x:v>1</x:v>
      </x:c>
    </x:row>
    <x:row r="189">
      <x:c r="A189" s="46" t="str">
        <x:v>PT-00186</x:v>
      </x:c>
      <x:c r="B189" s="46" t="str">
        <x:v>PM-00186</x:v>
      </x:c>
      <x:c r="C189" s="46" t="str">
        <x:v>asset</x:v>
      </x:c>
      <x:c r="D189" s="46" t="str">
        <x:v>AST-0018</x:v>
      </x:c>
      <x:c r="E189" s="46" t="str"/>
      <x:c r="F189" s="47" t="b">
        <x:v>1</x:v>
      </x:c>
    </x:row>
    <x:row r="190">
      <x:c r="A190" s="46" t="str">
        <x:v>PT-00187</x:v>
      </x:c>
      <x:c r="B190" s="46" t="str">
        <x:v>PM-00187</x:v>
      </x:c>
      <x:c r="C190" s="46" t="str">
        <x:v>asset</x:v>
      </x:c>
      <x:c r="D190" s="46" t="str">
        <x:v>AST-0017</x:v>
      </x:c>
      <x:c r="E190" s="46" t="str"/>
      <x:c r="F190" s="47" t="b">
        <x:v>1</x:v>
      </x:c>
    </x:row>
    <x:row r="191">
      <x:c r="A191" s="46" t="str">
        <x:v>PT-00188</x:v>
      </x:c>
      <x:c r="B191" s="46" t="str">
        <x:v>PM-00188</x:v>
      </x:c>
      <x:c r="C191" s="46" t="str">
        <x:v>asset</x:v>
      </x:c>
      <x:c r="D191" s="46" t="str">
        <x:v>AST-0017</x:v>
      </x:c>
      <x:c r="E191" s="46" t="str"/>
      <x:c r="F191" s="47" t="b">
        <x:v>1</x:v>
      </x:c>
    </x:row>
    <x:row r="192">
      <x:c r="A192" s="46" t="str">
        <x:v>PT-00189</x:v>
      </x:c>
      <x:c r="B192" s="46" t="str">
        <x:v>PM-00189</x:v>
      </x:c>
      <x:c r="C192" s="46" t="str">
        <x:v>asset</x:v>
      </x:c>
      <x:c r="D192" s="46" t="str">
        <x:v>AST-0017</x:v>
      </x:c>
      <x:c r="E192" s="46" t="str"/>
      <x:c r="F192" s="47" t="b">
        <x:v>1</x:v>
      </x:c>
    </x:row>
    <x:row r="193">
      <x:c r="A193" s="46" t="str">
        <x:v>PT-00190</x:v>
      </x:c>
      <x:c r="B193" s="46" t="str">
        <x:v>PM-00190</x:v>
      </x:c>
      <x:c r="C193" s="46" t="str">
        <x:v>asset</x:v>
      </x:c>
      <x:c r="D193" s="46" t="str">
        <x:v>AST-0017</x:v>
      </x:c>
      <x:c r="E193" s="46" t="str"/>
      <x:c r="F193" s="47" t="b">
        <x:v>1</x:v>
      </x:c>
    </x:row>
    <x:row r="194">
      <x:c r="A194" s="46" t="str">
        <x:v>PT-00191</x:v>
      </x:c>
      <x:c r="B194" s="46" t="str">
        <x:v>PM-00191</x:v>
      </x:c>
      <x:c r="C194" s="46" t="str">
        <x:v>asset</x:v>
      </x:c>
      <x:c r="D194" s="46" t="str">
        <x:v>AST-0017</x:v>
      </x:c>
      <x:c r="E194" s="46" t="str"/>
      <x:c r="F194" s="47" t="b">
        <x:v>1</x:v>
      </x:c>
    </x:row>
    <x:row r="195">
      <x:c r="A195" s="46" t="str">
        <x:v>PT-00192</x:v>
      </x:c>
      <x:c r="B195" s="46" t="str">
        <x:v>PM-00192</x:v>
      </x:c>
      <x:c r="C195" s="46" t="str">
        <x:v>asset</x:v>
      </x:c>
      <x:c r="D195" s="46" t="str">
        <x:v>AST-0017</x:v>
      </x:c>
      <x:c r="E195" s="46" t="str"/>
      <x:c r="F195" s="47" t="b">
        <x:v>1</x:v>
      </x:c>
    </x:row>
    <x:row r="196">
      <x:c r="A196" s="46" t="str">
        <x:v>PT-00193</x:v>
      </x:c>
      <x:c r="B196" s="46" t="str">
        <x:v>PM-00193</x:v>
      </x:c>
      <x:c r="C196" s="46" t="str">
        <x:v>asset</x:v>
      </x:c>
      <x:c r="D196" s="46" t="str">
        <x:v>AST-0017</x:v>
      </x:c>
      <x:c r="E196" s="46" t="str"/>
      <x:c r="F196" s="47" t="b">
        <x:v>1</x:v>
      </x:c>
    </x:row>
    <x:row r="197">
      <x:c r="A197" s="46" t="str">
        <x:v>PT-00194</x:v>
      </x:c>
      <x:c r="B197" s="46" t="str">
        <x:v>PM-00194</x:v>
      </x:c>
      <x:c r="C197" s="46" t="str">
        <x:v>asset</x:v>
      </x:c>
      <x:c r="D197" s="46" t="str">
        <x:v>AST-0017</x:v>
      </x:c>
      <x:c r="E197" s="46" t="str"/>
      <x:c r="F197" s="47" t="b">
        <x:v>1</x:v>
      </x:c>
    </x:row>
    <x:row r="198">
      <x:c r="A198" s="46" t="str">
        <x:v>PT-00195</x:v>
      </x:c>
      <x:c r="B198" s="46" t="str">
        <x:v>PM-00195</x:v>
      </x:c>
      <x:c r="C198" s="46" t="str">
        <x:v>asset</x:v>
      </x:c>
      <x:c r="D198" s="46" t="str">
        <x:v>AST-0017</x:v>
      </x:c>
      <x:c r="E198" s="46" t="str"/>
      <x:c r="F198" s="47" t="b">
        <x:v>1</x:v>
      </x:c>
    </x:row>
    <x:row r="199">
      <x:c r="A199" s="46" t="str">
        <x:v>PT-00196</x:v>
      </x:c>
      <x:c r="B199" s="46" t="str">
        <x:v>PM-00196</x:v>
      </x:c>
      <x:c r="C199" s="46" t="str">
        <x:v>asset</x:v>
      </x:c>
      <x:c r="D199" s="46" t="str">
        <x:v>AST-0017</x:v>
      </x:c>
      <x:c r="E199" s="46" t="str"/>
      <x:c r="F199" s="47" t="b">
        <x:v>1</x:v>
      </x:c>
    </x:row>
    <x:row r="200">
      <x:c r="A200" s="46" t="str">
        <x:v>PT-00197</x:v>
      </x:c>
      <x:c r="B200" s="46" t="str">
        <x:v>PM-00197</x:v>
      </x:c>
      <x:c r="C200" s="46" t="str">
        <x:v>asset</x:v>
      </x:c>
      <x:c r="D200" s="46" t="str">
        <x:v>AST-0016</x:v>
      </x:c>
      <x:c r="E200" s="46" t="str"/>
      <x:c r="F200" s="47" t="b">
        <x:v>1</x:v>
      </x:c>
    </x:row>
    <x:row r="201">
      <x:c r="A201" s="46" t="str">
        <x:v>PT-00198</x:v>
      </x:c>
      <x:c r="B201" s="46" t="str">
        <x:v>PM-00198</x:v>
      </x:c>
      <x:c r="C201" s="46" t="str">
        <x:v>asset</x:v>
      </x:c>
      <x:c r="D201" s="46" t="str">
        <x:v>AST-0016</x:v>
      </x:c>
      <x:c r="E201" s="46" t="str"/>
      <x:c r="F201" s="47" t="b">
        <x:v>1</x:v>
      </x:c>
    </x:row>
    <x:row r="202">
      <x:c r="A202" s="46" t="str">
        <x:v>PT-00199</x:v>
      </x:c>
      <x:c r="B202" s="46" t="str">
        <x:v>PM-00199</x:v>
      </x:c>
      <x:c r="C202" s="46" t="str">
        <x:v>asset</x:v>
      </x:c>
      <x:c r="D202" s="46" t="str">
        <x:v>AST-0016</x:v>
      </x:c>
      <x:c r="E202" s="46" t="str"/>
      <x:c r="F202" s="47" t="b">
        <x:v>1</x:v>
      </x:c>
    </x:row>
    <x:row r="203">
      <x:c r="A203" s="46" t="str">
        <x:v>PT-00200</x:v>
      </x:c>
      <x:c r="B203" s="46" t="str">
        <x:v>PM-00200</x:v>
      </x:c>
      <x:c r="C203" s="46" t="str">
        <x:v>asset</x:v>
      </x:c>
      <x:c r="D203" s="46" t="str">
        <x:v>AST-0016</x:v>
      </x:c>
      <x:c r="E203" s="46" t="str"/>
      <x:c r="F203" s="47" t="b">
        <x:v>1</x:v>
      </x:c>
    </x:row>
    <x:row r="204">
      <x:c r="A204" s="46" t="str">
        <x:v>PT-00201</x:v>
      </x:c>
      <x:c r="B204" s="46" t="str">
        <x:v>PM-00201</x:v>
      </x:c>
      <x:c r="C204" s="46" t="str">
        <x:v>asset</x:v>
      </x:c>
      <x:c r="D204" s="46" t="str">
        <x:v>AST-0016</x:v>
      </x:c>
      <x:c r="E204" s="46" t="str"/>
      <x:c r="F204" s="47" t="b">
        <x:v>1</x:v>
      </x:c>
    </x:row>
    <x:row r="205">
      <x:c r="A205" s="46" t="str">
        <x:v>PT-00202</x:v>
      </x:c>
      <x:c r="B205" s="46" t="str">
        <x:v>PM-00202</x:v>
      </x:c>
      <x:c r="C205" s="46" t="str">
        <x:v>asset</x:v>
      </x:c>
      <x:c r="D205" s="46" t="str">
        <x:v>AST-0016</x:v>
      </x:c>
      <x:c r="E205" s="46" t="str"/>
      <x:c r="F205" s="47" t="b">
        <x:v>1</x:v>
      </x:c>
    </x:row>
    <x:row r="206">
      <x:c r="A206" s="46" t="str">
        <x:v>PT-00203</x:v>
      </x:c>
      <x:c r="B206" s="46" t="str">
        <x:v>PM-00203</x:v>
      </x:c>
      <x:c r="C206" s="46" t="str">
        <x:v>asset</x:v>
      </x:c>
      <x:c r="D206" s="46" t="str">
        <x:v>AST-0016</x:v>
      </x:c>
      <x:c r="E206" s="46" t="str"/>
      <x:c r="F206" s="47" t="b">
        <x:v>1</x:v>
      </x:c>
    </x:row>
    <x:row r="207">
      <x:c r="A207" s="46" t="str">
        <x:v>PT-00204</x:v>
      </x:c>
      <x:c r="B207" s="46" t="str">
        <x:v>PM-00204</x:v>
      </x:c>
      <x:c r="C207" s="46" t="str">
        <x:v>asset</x:v>
      </x:c>
      <x:c r="D207" s="46" t="str">
        <x:v>AST-0016</x:v>
      </x:c>
      <x:c r="E207" s="46" t="str"/>
      <x:c r="F207" s="47" t="b">
        <x:v>1</x:v>
      </x:c>
    </x:row>
    <x:row r="208">
      <x:c r="A208" s="46" t="str">
        <x:v>PT-00205</x:v>
      </x:c>
      <x:c r="B208" s="46" t="str">
        <x:v>PM-00205</x:v>
      </x:c>
      <x:c r="C208" s="46" t="str">
        <x:v>asset</x:v>
      </x:c>
      <x:c r="D208" s="46" t="str">
        <x:v>AST-0016</x:v>
      </x:c>
      <x:c r="E208" s="46" t="str"/>
      <x:c r="F208" s="47" t="b">
        <x:v>1</x:v>
      </x:c>
    </x:row>
    <x:row r="209">
      <x:c r="A209" s="46" t="str">
        <x:v>PT-00206</x:v>
      </x:c>
      <x:c r="B209" s="46" t="str">
        <x:v>PM-00206</x:v>
      </x:c>
      <x:c r="C209" s="46" t="str">
        <x:v>asset</x:v>
      </x:c>
      <x:c r="D209" s="46" t="str">
        <x:v>AST-0015</x:v>
      </x:c>
      <x:c r="E209" s="46" t="str"/>
      <x:c r="F209" s="47" t="b">
        <x:v>1</x:v>
      </x:c>
    </x:row>
    <x:row r="210">
      <x:c r="A210" s="46" t="str">
        <x:v>PT-00207</x:v>
      </x:c>
      <x:c r="B210" s="46" t="str">
        <x:v>PM-00207</x:v>
      </x:c>
      <x:c r="C210" s="46" t="str">
        <x:v>asset</x:v>
      </x:c>
      <x:c r="D210" s="46" t="str">
        <x:v>AST-0015</x:v>
      </x:c>
      <x:c r="E210" s="46" t="str"/>
      <x:c r="F210" s="47" t="b">
        <x:v>1</x:v>
      </x:c>
    </x:row>
    <x:row r="211">
      <x:c r="A211" s="46" t="str">
        <x:v>PT-00208</x:v>
      </x:c>
      <x:c r="B211" s="46" t="str">
        <x:v>PM-00208</x:v>
      </x:c>
      <x:c r="C211" s="46" t="str">
        <x:v>asset</x:v>
      </x:c>
      <x:c r="D211" s="46" t="str">
        <x:v>AST-0015</x:v>
      </x:c>
      <x:c r="E211" s="46" t="str"/>
      <x:c r="F211" s="47" t="b">
        <x:v>1</x:v>
      </x:c>
    </x:row>
    <x:row r="212">
      <x:c r="A212" s="46" t="str">
        <x:v>PT-00209</x:v>
      </x:c>
      <x:c r="B212" s="46" t="str">
        <x:v>PM-00209</x:v>
      </x:c>
      <x:c r="C212" s="46" t="str">
        <x:v>asset</x:v>
      </x:c>
      <x:c r="D212" s="46" t="str">
        <x:v>AST-0015</x:v>
      </x:c>
      <x:c r="E212" s="46" t="str"/>
      <x:c r="F212" s="47" t="b">
        <x:v>1</x:v>
      </x:c>
    </x:row>
    <x:row r="213">
      <x:c r="A213" s="46" t="str">
        <x:v>PT-00210</x:v>
      </x:c>
      <x:c r="B213" s="46" t="str">
        <x:v>PM-00210</x:v>
      </x:c>
      <x:c r="C213" s="46" t="str">
        <x:v>asset</x:v>
      </x:c>
      <x:c r="D213" s="46" t="str">
        <x:v>AST-0015</x:v>
      </x:c>
      <x:c r="E213" s="46" t="str"/>
      <x:c r="F213" s="47" t="b">
        <x:v>1</x:v>
      </x:c>
    </x:row>
    <x:row r="214">
      <x:c r="A214" s="46" t="str">
        <x:v>PT-00211</x:v>
      </x:c>
      <x:c r="B214" s="46" t="str">
        <x:v>PM-00211</x:v>
      </x:c>
      <x:c r="C214" s="46" t="str">
        <x:v>asset</x:v>
      </x:c>
      <x:c r="D214" s="46" t="str">
        <x:v>AST-0015</x:v>
      </x:c>
      <x:c r="E214" s="46" t="str"/>
      <x:c r="F214" s="47" t="b">
        <x:v>1</x:v>
      </x:c>
    </x:row>
    <x:row r="215">
      <x:c r="A215" s="46" t="str">
        <x:v>PT-00212</x:v>
      </x:c>
      <x:c r="B215" s="46" t="str">
        <x:v>PM-00212</x:v>
      </x:c>
      <x:c r="C215" s="46" t="str">
        <x:v>asset</x:v>
      </x:c>
      <x:c r="D215" s="46" t="str">
        <x:v>AST-0015</x:v>
      </x:c>
      <x:c r="E215" s="46" t="str"/>
      <x:c r="F215" s="47" t="b">
        <x:v>1</x:v>
      </x:c>
    </x:row>
    <x:row r="216">
      <x:c r="A216" s="46" t="str">
        <x:v>PT-00213</x:v>
      </x:c>
      <x:c r="B216" s="46" t="str">
        <x:v>PM-00213</x:v>
      </x:c>
      <x:c r="C216" s="46" t="str">
        <x:v>asset</x:v>
      </x:c>
      <x:c r="D216" s="46" t="str">
        <x:v>AST-0015</x:v>
      </x:c>
      <x:c r="E216" s="46" t="str"/>
      <x:c r="F216" s="47" t="b">
        <x:v>1</x:v>
      </x:c>
    </x:row>
    <x:row r="217">
      <x:c r="A217" s="46" t="str">
        <x:v>PT-00214</x:v>
      </x:c>
      <x:c r="B217" s="46" t="str">
        <x:v>PM-00214</x:v>
      </x:c>
      <x:c r="C217" s="46" t="str">
        <x:v>asset</x:v>
      </x:c>
      <x:c r="D217" s="46" t="str">
        <x:v>AST-0015</x:v>
      </x:c>
      <x:c r="E217" s="46" t="str"/>
      <x:c r="F217" s="47" t="b">
        <x:v>1</x:v>
      </x:c>
    </x:row>
    <x:row r="218">
      <x:c r="A218" s="46" t="str">
        <x:v>PT-00215</x:v>
      </x:c>
      <x:c r="B218" s="46" t="str">
        <x:v>PM-00215</x:v>
      </x:c>
      <x:c r="C218" s="46" t="str">
        <x:v>asset</x:v>
      </x:c>
      <x:c r="D218" s="46" t="str">
        <x:v>AST-0015</x:v>
      </x:c>
      <x:c r="E218" s="46" t="str"/>
      <x:c r="F218" s="47" t="b">
        <x:v>1</x:v>
      </x:c>
    </x:row>
    <x:row r="219">
      <x:c r="A219" s="46" t="str">
        <x:v>PT-00216</x:v>
      </x:c>
      <x:c r="B219" s="46" t="str">
        <x:v>PM-00216</x:v>
      </x:c>
      <x:c r="C219" s="46" t="str">
        <x:v>asset</x:v>
      </x:c>
      <x:c r="D219" s="46" t="str">
        <x:v>AST-0015</x:v>
      </x:c>
      <x:c r="E219" s="46" t="str"/>
      <x:c r="F219" s="47" t="b">
        <x:v>1</x:v>
      </x:c>
    </x:row>
    <x:row r="220">
      <x:c r="A220" s="46" t="str">
        <x:v>PT-00217</x:v>
      </x:c>
      <x:c r="B220" s="46" t="str">
        <x:v>PM-00217</x:v>
      </x:c>
      <x:c r="C220" s="46" t="str">
        <x:v>asset</x:v>
      </x:c>
      <x:c r="D220" s="46" t="str">
        <x:v>AST-0013</x:v>
      </x:c>
      <x:c r="E220" s="46" t="str"/>
      <x:c r="F220" s="47" t="b">
        <x:v>1</x:v>
      </x:c>
    </x:row>
    <x:row r="221">
      <x:c r="A221" s="46" t="str">
        <x:v>PT-00218</x:v>
      </x:c>
      <x:c r="B221" s="46" t="str">
        <x:v>PM-00218</x:v>
      </x:c>
      <x:c r="C221" s="46" t="str">
        <x:v>asset</x:v>
      </x:c>
      <x:c r="D221" s="46" t="str">
        <x:v>AST-0013</x:v>
      </x:c>
      <x:c r="E221" s="46" t="str"/>
      <x:c r="F221" s="47" t="b">
        <x:v>1</x:v>
      </x:c>
    </x:row>
    <x:row r="222">
      <x:c r="A222" s="46" t="str">
        <x:v>PT-00219</x:v>
      </x:c>
      <x:c r="B222" s="46" t="str">
        <x:v>PM-00219</x:v>
      </x:c>
      <x:c r="C222" s="46" t="str">
        <x:v>asset</x:v>
      </x:c>
      <x:c r="D222" s="46" t="str">
        <x:v>AST-0013</x:v>
      </x:c>
      <x:c r="E222" s="46" t="str"/>
      <x:c r="F222" s="47" t="b">
        <x:v>1</x:v>
      </x:c>
    </x:row>
    <x:row r="223">
      <x:c r="A223" s="46" t="str">
        <x:v>PT-00220</x:v>
      </x:c>
      <x:c r="B223" s="46" t="str">
        <x:v>PM-00220</x:v>
      </x:c>
      <x:c r="C223" s="46" t="str">
        <x:v>asset</x:v>
      </x:c>
      <x:c r="D223" s="46" t="str">
        <x:v>AST-0013</x:v>
      </x:c>
      <x:c r="E223" s="46" t="str"/>
      <x:c r="F223" s="47" t="b">
        <x:v>1</x:v>
      </x:c>
    </x:row>
    <x:row r="224">
      <x:c r="A224" s="46" t="str">
        <x:v>PT-00221</x:v>
      </x:c>
      <x:c r="B224" s="46" t="str">
        <x:v>PM-00221</x:v>
      </x:c>
      <x:c r="C224" s="46" t="str">
        <x:v>asset</x:v>
      </x:c>
      <x:c r="D224" s="46" t="str">
        <x:v>AST-0013</x:v>
      </x:c>
      <x:c r="E224" s="46" t="str"/>
      <x:c r="F224" s="47" t="b">
        <x:v>1</x:v>
      </x:c>
    </x:row>
    <x:row r="225">
      <x:c r="A225" s="46" t="str">
        <x:v>PT-00222</x:v>
      </x:c>
      <x:c r="B225" s="46" t="str">
        <x:v>PM-00222</x:v>
      </x:c>
      <x:c r="C225" s="46" t="str">
        <x:v>asset</x:v>
      </x:c>
      <x:c r="D225" s="46" t="str">
        <x:v>AST-0013</x:v>
      </x:c>
      <x:c r="E225" s="46" t="str"/>
      <x:c r="F225" s="47" t="b">
        <x:v>1</x:v>
      </x:c>
    </x:row>
    <x:row r="226">
      <x:c r="A226" s="46" t="str">
        <x:v>PT-00223</x:v>
      </x:c>
      <x:c r="B226" s="46" t="str">
        <x:v>PM-00223</x:v>
      </x:c>
      <x:c r="C226" s="46" t="str">
        <x:v>asset</x:v>
      </x:c>
      <x:c r="D226" s="46" t="str">
        <x:v>AST-0013</x:v>
      </x:c>
      <x:c r="E226" s="46" t="str"/>
      <x:c r="F226" s="47" t="b">
        <x:v>1</x:v>
      </x:c>
    </x:row>
    <x:row r="227">
      <x:c r="A227" s="46" t="str">
        <x:v>PT-00224</x:v>
      </x:c>
      <x:c r="B227" s="46" t="str">
        <x:v>PM-00224</x:v>
      </x:c>
      <x:c r="C227" s="46" t="str">
        <x:v>asset</x:v>
      </x:c>
      <x:c r="D227" s="46" t="str">
        <x:v>AST-0019</x:v>
      </x:c>
      <x:c r="E227" s="46" t="str"/>
      <x:c r="F227" s="47" t="b">
        <x:v>1</x:v>
      </x:c>
    </x:row>
    <x:row r="228">
      <x:c r="A228" s="46" t="str">
        <x:v>PT-00225</x:v>
      </x:c>
      <x:c r="B228" s="46" t="str">
        <x:v>PM-00225</x:v>
      </x:c>
      <x:c r="C228" s="46" t="str">
        <x:v>asset</x:v>
      </x:c>
      <x:c r="D228" s="46" t="str">
        <x:v>AST-0019</x:v>
      </x:c>
      <x:c r="E228" s="46" t="str"/>
      <x:c r="F228" s="47" t="b">
        <x:v>1</x:v>
      </x:c>
    </x:row>
    <x:row r="229">
      <x:c r="A229" s="46" t="str">
        <x:v>PT-00226</x:v>
      </x:c>
      <x:c r="B229" s="46" t="str">
        <x:v>PM-00226</x:v>
      </x:c>
      <x:c r="C229" s="46" t="str">
        <x:v>asset</x:v>
      </x:c>
      <x:c r="D229" s="46" t="str">
        <x:v>AST-0019</x:v>
      </x:c>
      <x:c r="E229" s="46" t="str"/>
      <x:c r="F229" s="47" t="b">
        <x:v>1</x:v>
      </x:c>
    </x:row>
    <x:row r="230">
      <x:c r="A230" s="46" t="str">
        <x:v>PT-00227</x:v>
      </x:c>
      <x:c r="B230" s="46" t="str">
        <x:v>PM-00227</x:v>
      </x:c>
      <x:c r="C230" s="46" t="str">
        <x:v>asset</x:v>
      </x:c>
      <x:c r="D230" s="46" t="str">
        <x:v>AST-0019</x:v>
      </x:c>
      <x:c r="E230" s="46" t="str"/>
      <x:c r="F230" s="47" t="b">
        <x:v>1</x:v>
      </x:c>
    </x:row>
    <x:row r="231">
      <x:c r="A231" s="46" t="str">
        <x:v>PT-00228</x:v>
      </x:c>
      <x:c r="B231" s="46" t="str">
        <x:v>PM-00228</x:v>
      </x:c>
      <x:c r="C231" s="46" t="str">
        <x:v>asset</x:v>
      </x:c>
      <x:c r="D231" s="46" t="str">
        <x:v>AST-0019</x:v>
      </x:c>
      <x:c r="E231" s="46" t="str"/>
      <x:c r="F231" s="47" t="b">
        <x:v>1</x:v>
      </x:c>
    </x:row>
    <x:row r="232">
      <x:c r="A232" s="46" t="str">
        <x:v>PT-00229</x:v>
      </x:c>
      <x:c r="B232" s="46" t="str">
        <x:v>PM-00229</x:v>
      </x:c>
      <x:c r="C232" s="46" t="str">
        <x:v>asset</x:v>
      </x:c>
      <x:c r="D232" s="46" t="str">
        <x:v>AST-0019</x:v>
      </x:c>
      <x:c r="E232" s="46" t="str"/>
      <x:c r="F232" s="47" t="b">
        <x:v>1</x:v>
      </x:c>
    </x:row>
    <x:row r="233">
      <x:c r="A233" s="46" t="str">
        <x:v>PT-00230</x:v>
      </x:c>
      <x:c r="B233" s="46" t="str">
        <x:v>PM-00230</x:v>
      </x:c>
      <x:c r="C233" s="46" t="str">
        <x:v>asset</x:v>
      </x:c>
      <x:c r="D233" s="46" t="str">
        <x:v>AST-0019</x:v>
      </x:c>
      <x:c r="E233" s="46" t="str"/>
      <x:c r="F233" s="47" t="b">
        <x:v>1</x:v>
      </x:c>
    </x:row>
    <x:row r="234">
      <x:c r="A234" s="46" t="str">
        <x:v>PT-00231</x:v>
      </x:c>
      <x:c r="B234" s="46" t="str">
        <x:v>PM-00231</x:v>
      </x:c>
      <x:c r="C234" s="46" t="str">
        <x:v>asset</x:v>
      </x:c>
      <x:c r="D234" s="46" t="str">
        <x:v>AST-0019</x:v>
      </x:c>
      <x:c r="E234" s="46" t="str"/>
      <x:c r="F234" s="47" t="b">
        <x:v>1</x:v>
      </x:c>
    </x:row>
    <x:row r="235">
      <x:c r="A235" s="46" t="str">
        <x:v>PT-00232</x:v>
      </x:c>
      <x:c r="B235" s="46" t="str">
        <x:v>PM-00232</x:v>
      </x:c>
      <x:c r="C235" s="46" t="str">
        <x:v>asset</x:v>
      </x:c>
      <x:c r="D235" s="46" t="str">
        <x:v>AST-0019</x:v>
      </x:c>
      <x:c r="E235" s="46" t="str"/>
      <x:c r="F235" s="47" t="b">
        <x:v>1</x:v>
      </x:c>
    </x:row>
    <x:row r="236">
      <x:c r="A236" s="46" t="str">
        <x:v>PT-00233</x:v>
      </x:c>
      <x:c r="B236" s="46" t="str">
        <x:v>PM-00233</x:v>
      </x:c>
      <x:c r="C236" s="46" t="str">
        <x:v>asset</x:v>
      </x:c>
      <x:c r="D236" s="46" t="str">
        <x:v>AST-0019</x:v>
      </x:c>
      <x:c r="E236" s="46" t="str"/>
      <x:c r="F236" s="47" t="b">
        <x:v>1</x:v>
      </x:c>
    </x:row>
    <x:row r="237">
      <x:c r="A237" s="46" t="str">
        <x:v>PT-00234</x:v>
      </x:c>
      <x:c r="B237" s="46" t="str">
        <x:v>PM-00234</x:v>
      </x:c>
      <x:c r="C237" s="46" t="str">
        <x:v>asset</x:v>
      </x:c>
      <x:c r="D237" s="46" t="str">
        <x:v>AST-0019</x:v>
      </x:c>
      <x:c r="E237" s="46" t="str"/>
      <x:c r="F237" s="47" t="b">
        <x:v>1</x:v>
      </x:c>
    </x:row>
    <x:row r="238">
      <x:c r="A238" s="46" t="str">
        <x:v>PT-00235</x:v>
      </x:c>
      <x:c r="B238" s="46" t="str">
        <x:v>PM-00235</x:v>
      </x:c>
      <x:c r="C238" s="46" t="str">
        <x:v>asset</x:v>
      </x:c>
      <x:c r="D238" s="46" t="str">
        <x:v>AST-0019</x:v>
      </x:c>
      <x:c r="E238" s="46" t="str"/>
      <x:c r="F238" s="47" t="b">
        <x:v>1</x:v>
      </x:c>
    </x:row>
    <x:row r="239">
      <x:c r="A239" s="46" t="str">
        <x:v>PT-00236</x:v>
      </x:c>
      <x:c r="B239" s="46" t="str">
        <x:v>PM-00236</x:v>
      </x:c>
      <x:c r="C239" s="46" t="str">
        <x:v>asset</x:v>
      </x:c>
      <x:c r="D239" s="46" t="str">
        <x:v>AST-0019</x:v>
      </x:c>
      <x:c r="E239" s="46" t="str"/>
      <x:c r="F239" s="47" t="b">
        <x:v>1</x:v>
      </x:c>
    </x:row>
    <x:row r="240">
      <x:c r="A240" s="46" t="str">
        <x:v>PT-00237</x:v>
      </x:c>
      <x:c r="B240" s="46" t="str">
        <x:v>PM-00237</x:v>
      </x:c>
      <x:c r="C240" s="46" t="str">
        <x:v>asset</x:v>
      </x:c>
      <x:c r="D240" s="46" t="str">
        <x:v>AST-0019</x:v>
      </x:c>
      <x:c r="E240" s="46" t="str"/>
      <x:c r="F240" s="47" t="b">
        <x:v>1</x:v>
      </x:c>
    </x:row>
    <x:row r="241">
      <x:c r="A241" s="46" t="str">
        <x:v>PT-00238</x:v>
      </x:c>
      <x:c r="B241" s="46" t="str">
        <x:v>PM-00238</x:v>
      </x:c>
      <x:c r="C241" s="46" t="str">
        <x:v>asset</x:v>
      </x:c>
      <x:c r="D241" s="46" t="str">
        <x:v>AST-0019</x:v>
      </x:c>
      <x:c r="E241" s="46" t="str"/>
      <x:c r="F241" s="47" t="b">
        <x:v>1</x:v>
      </x:c>
    </x:row>
    <x:row r="242">
      <x:c r="A242" s="46" t="str">
        <x:v>PT-00239</x:v>
      </x:c>
      <x:c r="B242" s="46" t="str">
        <x:v>PM-00239</x:v>
      </x:c>
      <x:c r="C242" s="46" t="str">
        <x:v>asset</x:v>
      </x:c>
      <x:c r="D242" s="46" t="str">
        <x:v>AST-0019</x:v>
      </x:c>
      <x:c r="E242" s="46" t="str"/>
      <x:c r="F242" s="47" t="b">
        <x:v>1</x:v>
      </x:c>
    </x:row>
    <x:row r="243">
      <x:c r="A243" s="46" t="str">
        <x:v>PT-00240</x:v>
      </x:c>
      <x:c r="B243" s="46" t="str">
        <x:v>PM-00240</x:v>
      </x:c>
      <x:c r="C243" s="46" t="str">
        <x:v>asset</x:v>
      </x:c>
      <x:c r="D243" s="46" t="str">
        <x:v>AST-0014</x:v>
      </x:c>
      <x:c r="E243" s="46" t="str"/>
      <x:c r="F243" s="47" t="b">
        <x:v>1</x:v>
      </x:c>
    </x:row>
    <x:row r="244">
      <x:c r="A244" s="46" t="str">
        <x:v>PT-00241</x:v>
      </x:c>
      <x:c r="B244" s="46" t="str">
        <x:v>PM-00241</x:v>
      </x:c>
      <x:c r="C244" s="46" t="str">
        <x:v>asset</x:v>
      </x:c>
      <x:c r="D244" s="46" t="str">
        <x:v>AST-0014</x:v>
      </x:c>
      <x:c r="E244" s="46" t="str"/>
      <x:c r="F244" s="47" t="b">
        <x:v>1</x:v>
      </x:c>
    </x:row>
    <x:row r="245">
      <x:c r="A245" s="46" t="str">
        <x:v>PT-00242</x:v>
      </x:c>
      <x:c r="B245" s="46" t="str">
        <x:v>PM-00242</x:v>
      </x:c>
      <x:c r="C245" s="46" t="str">
        <x:v>asset</x:v>
      </x:c>
      <x:c r="D245" s="46" t="str">
        <x:v>AST-0014</x:v>
      </x:c>
      <x:c r="E245" s="46" t="str"/>
      <x:c r="F245" s="47" t="b">
        <x:v>1</x:v>
      </x:c>
    </x:row>
    <x:row r="246">
      <x:c r="A246" s="46" t="str">
        <x:v>PT-00243</x:v>
      </x:c>
      <x:c r="B246" s="46" t="str">
        <x:v>PM-00243</x:v>
      </x:c>
      <x:c r="C246" s="46" t="str">
        <x:v>asset</x:v>
      </x:c>
      <x:c r="D246" s="46" t="str">
        <x:v>AST-0014</x:v>
      </x:c>
      <x:c r="E246" s="46" t="str"/>
      <x:c r="F246" s="47" t="b">
        <x:v>1</x:v>
      </x:c>
    </x:row>
    <x:row r="247">
      <x:c r="A247" s="46" t="str">
        <x:v>PT-00244</x:v>
      </x:c>
      <x:c r="B247" s="46" t="str">
        <x:v>PM-00244</x:v>
      </x:c>
      <x:c r="C247" s="46" t="str">
        <x:v>asset</x:v>
      </x:c>
      <x:c r="D247" s="46" t="str">
        <x:v>AST-0014</x:v>
      </x:c>
      <x:c r="E247" s="46" t="str"/>
      <x:c r="F247" s="47" t="b">
        <x:v>1</x:v>
      </x:c>
    </x:row>
    <x:row r="248">
      <x:c r="A248" s="46" t="str">
        <x:v>PT-00245</x:v>
      </x:c>
      <x:c r="B248" s="46" t="str">
        <x:v>PM-00245</x:v>
      </x:c>
      <x:c r="C248" s="46" t="str">
        <x:v>asset</x:v>
      </x:c>
      <x:c r="D248" s="46" t="str">
        <x:v>AST-0014</x:v>
      </x:c>
      <x:c r="E248" s="46" t="str"/>
      <x:c r="F248" s="47" t="b">
        <x:v>1</x:v>
      </x:c>
    </x:row>
    <x:row r="249">
      <x:c r="A249" s="46" t="str">
        <x:v>PT-00246</x:v>
      </x:c>
      <x:c r="B249" s="46" t="str">
        <x:v>PM-00246</x:v>
      </x:c>
      <x:c r="C249" s="46" t="str">
        <x:v>asset</x:v>
      </x:c>
      <x:c r="D249" s="46" t="str">
        <x:v>AST-0014</x:v>
      </x:c>
      <x:c r="E249" s="46" t="str"/>
      <x:c r="F249" s="47" t="b">
        <x:v>1</x:v>
      </x:c>
    </x:row>
    <x:row r="250">
      <x:c r="A250" s="46" t="str">
        <x:v>PT-00247</x:v>
      </x:c>
      <x:c r="B250" s="46" t="str">
        <x:v>PM-00247</x:v>
      </x:c>
      <x:c r="C250" s="46" t="str">
        <x:v>asset</x:v>
      </x:c>
      <x:c r="D250" s="46" t="str">
        <x:v>AST-0014</x:v>
      </x:c>
      <x:c r="E250" s="46" t="str"/>
      <x:c r="F250" s="47" t="b">
        <x:v>1</x:v>
      </x:c>
    </x:row>
    <x:row r="251">
      <x:c r="A251" s="46" t="str">
        <x:v>PT-00248</x:v>
      </x:c>
      <x:c r="B251" s="46" t="str">
        <x:v>PM-00248</x:v>
      </x:c>
      <x:c r="C251" s="46" t="str">
        <x:v>asset</x:v>
      </x:c>
      <x:c r="D251" s="46" t="str">
        <x:v>AST-0014</x:v>
      </x:c>
      <x:c r="E251" s="46" t="str"/>
      <x:c r="F251" s="47" t="b">
        <x:v>1</x:v>
      </x:c>
    </x:row>
    <x:row r="252">
      <x:c r="A252" s="46" t="str">
        <x:v>PT-00249</x:v>
      </x:c>
      <x:c r="B252" s="46" t="str">
        <x:v>PM-00249</x:v>
      </x:c>
      <x:c r="C252" s="46" t="str">
        <x:v>asset</x:v>
      </x:c>
      <x:c r="D252" s="46" t="str">
        <x:v>AST-0022</x:v>
      </x:c>
      <x:c r="E252" s="46" t="str"/>
      <x:c r="F252" s="47" t="b">
        <x:v>1</x:v>
      </x:c>
    </x:row>
    <x:row r="253">
      <x:c r="A253" s="46" t="str">
        <x:v>PT-00250</x:v>
      </x:c>
      <x:c r="B253" s="46" t="str">
        <x:v>PM-00250</x:v>
      </x:c>
      <x:c r="C253" s="46" t="str">
        <x:v>asset</x:v>
      </x:c>
      <x:c r="D253" s="46" t="str">
        <x:v>AST-0022</x:v>
      </x:c>
      <x:c r="E253" s="46" t="str"/>
      <x:c r="F253" s="47" t="b">
        <x:v>1</x:v>
      </x:c>
    </x:row>
    <x:row r="254">
      <x:c r="A254" s="46" t="str">
        <x:v>PT-00251</x:v>
      </x:c>
      <x:c r="B254" s="46" t="str">
        <x:v>PM-00251</x:v>
      </x:c>
      <x:c r="C254" s="46" t="str">
        <x:v>asset</x:v>
      </x:c>
      <x:c r="D254" s="46" t="str">
        <x:v>AST-0022</x:v>
      </x:c>
      <x:c r="E254" s="46" t="str"/>
      <x:c r="F254" s="47" t="b">
        <x:v>1</x:v>
      </x:c>
    </x:row>
    <x:row r="255">
      <x:c r="A255" s="46" t="str">
        <x:v>PT-00252</x:v>
      </x:c>
      <x:c r="B255" s="46" t="str">
        <x:v>PM-00252</x:v>
      </x:c>
      <x:c r="C255" s="46" t="str">
        <x:v>asset</x:v>
      </x:c>
      <x:c r="D255" s="46" t="str">
        <x:v>AST-0022</x:v>
      </x:c>
      <x:c r="E255" s="46" t="str"/>
      <x:c r="F255" s="47" t="b">
        <x:v>1</x:v>
      </x:c>
    </x:row>
    <x:row r="256">
      <x:c r="A256" s="46" t="str">
        <x:v>PT-00253</x:v>
      </x:c>
      <x:c r="B256" s="46" t="str">
        <x:v>PM-00253</x:v>
      </x:c>
      <x:c r="C256" s="46" t="str">
        <x:v>asset</x:v>
      </x:c>
      <x:c r="D256" s="46" t="str">
        <x:v>AST-0021</x:v>
      </x:c>
      <x:c r="E256" s="46" t="str"/>
      <x:c r="F256" s="47" t="b">
        <x:v>1</x:v>
      </x:c>
    </x:row>
    <x:row r="257">
      <x:c r="A257" s="46" t="str">
        <x:v>PT-00254</x:v>
      </x:c>
      <x:c r="B257" s="46" t="str">
        <x:v>PM-00254</x:v>
      </x:c>
      <x:c r="C257" s="46" t="str">
        <x:v>asset</x:v>
      </x:c>
      <x:c r="D257" s="46" t="str">
        <x:v>AST-0021</x:v>
      </x:c>
      <x:c r="E257" s="46" t="str"/>
      <x:c r="F257" s="47" t="b">
        <x:v>1</x:v>
      </x:c>
    </x:row>
    <x:row r="258">
      <x:c r="A258" s="46" t="str">
        <x:v>PT-00255</x:v>
      </x:c>
      <x:c r="B258" s="46" t="str">
        <x:v>PM-00255</x:v>
      </x:c>
      <x:c r="C258" s="46" t="str">
        <x:v>asset</x:v>
      </x:c>
      <x:c r="D258" s="46" t="str">
        <x:v>AST-0021</x:v>
      </x:c>
      <x:c r="E258" s="46" t="str"/>
      <x:c r="F258" s="47" t="b">
        <x:v>1</x:v>
      </x:c>
    </x:row>
    <x:row r="259">
      <x:c r="A259" s="46" t="str">
        <x:v>PT-00256</x:v>
      </x:c>
      <x:c r="B259" s="46" t="str">
        <x:v>PM-00256</x:v>
      </x:c>
      <x:c r="C259" s="46" t="str">
        <x:v>asset</x:v>
      </x:c>
      <x:c r="D259" s="46" t="str">
        <x:v>AST-0021</x:v>
      </x:c>
      <x:c r="E259" s="46" t="str"/>
      <x:c r="F259" s="47" t="b">
        <x:v>1</x:v>
      </x:c>
    </x:row>
    <x:row r="260">
      <x:c r="A260" s="46" t="str">
        <x:v>PT-00257</x:v>
      </x:c>
      <x:c r="B260" s="46" t="str">
        <x:v>PM-00257</x:v>
      </x:c>
      <x:c r="C260" s="46" t="str">
        <x:v>asset</x:v>
      </x:c>
      <x:c r="D260" s="46" t="str">
        <x:v>AST-0021</x:v>
      </x:c>
      <x:c r="E260" s="46" t="str"/>
      <x:c r="F260" s="47" t="b">
        <x:v>1</x:v>
      </x:c>
    </x:row>
    <x:row r="261">
      <x:c r="A261" s="46" t="str">
        <x:v>PT-00258</x:v>
      </x:c>
      <x:c r="B261" s="46" t="str">
        <x:v>PM-00258</x:v>
      </x:c>
      <x:c r="C261" s="46" t="str">
        <x:v>asset</x:v>
      </x:c>
      <x:c r="D261" s="46" t="str">
        <x:v>AST-0021</x:v>
      </x:c>
      <x:c r="E261" s="46" t="str"/>
      <x:c r="F261" s="47" t="b">
        <x:v>1</x:v>
      </x:c>
    </x:row>
    <x:row r="262">
      <x:c r="A262" s="46" t="str">
        <x:v>PT-00259</x:v>
      </x:c>
      <x:c r="B262" s="46" t="str">
        <x:v>PM-00259</x:v>
      </x:c>
      <x:c r="C262" s="46" t="str">
        <x:v>asset</x:v>
      </x:c>
      <x:c r="D262" s="46" t="str">
        <x:v>AST-0021</x:v>
      </x:c>
      <x:c r="E262" s="46" t="str"/>
      <x:c r="F262" s="47" t="b">
        <x:v>1</x:v>
      </x:c>
    </x:row>
    <x:row r="263">
      <x:c r="A263" s="46" t="str">
        <x:v>PT-00260</x:v>
      </x:c>
      <x:c r="B263" s="46" t="str">
        <x:v>PM-00260</x:v>
      </x:c>
      <x:c r="C263" s="46" t="str">
        <x:v>asset</x:v>
      </x:c>
      <x:c r="D263" s="46" t="str">
        <x:v>AST-0021</x:v>
      </x:c>
      <x:c r="E263" s="46" t="str"/>
      <x:c r="F263" s="47" t="b">
        <x:v>1</x:v>
      </x:c>
    </x:row>
    <x:row r="264">
      <x:c r="A264" s="46" t="str">
        <x:v>PT-00261</x:v>
      </x:c>
      <x:c r="B264" s="46" t="str">
        <x:v>PM-00261</x:v>
      </x:c>
      <x:c r="C264" s="46" t="str">
        <x:v>asset</x:v>
      </x:c>
      <x:c r="D264" s="46" t="str">
        <x:v>AST-0021</x:v>
      </x:c>
      <x:c r="E264" s="46" t="str"/>
      <x:c r="F264" s="47" t="b">
        <x:v>1</x:v>
      </x:c>
    </x:row>
    <x:row r="265">
      <x:c r="A265" s="46" t="str">
        <x:v>PT-00262</x:v>
      </x:c>
      <x:c r="B265" s="46" t="str">
        <x:v>PM-00262</x:v>
      </x:c>
      <x:c r="C265" s="46" t="str">
        <x:v>asset</x:v>
      </x:c>
      <x:c r="D265" s="46" t="str">
        <x:v>AST-0023</x:v>
      </x:c>
      <x:c r="E265" s="46" t="str"/>
      <x:c r="F265" s="47" t="b">
        <x:v>1</x:v>
      </x:c>
    </x:row>
    <x:row r="266">
      <x:c r="A266" s="46" t="str">
        <x:v>PT-00263</x:v>
      </x:c>
      <x:c r="B266" s="46" t="str">
        <x:v>PM-00263</x:v>
      </x:c>
      <x:c r="C266" s="46" t="str">
        <x:v>asset</x:v>
      </x:c>
      <x:c r="D266" s="46" t="str">
        <x:v>AST-0023</x:v>
      </x:c>
      <x:c r="E266" s="46" t="str"/>
      <x:c r="F266" s="47" t="b">
        <x:v>1</x:v>
      </x:c>
    </x:row>
    <x:row r="267">
      <x:c r="A267" s="46" t="str">
        <x:v>PT-00264</x:v>
      </x:c>
      <x:c r="B267" s="46" t="str">
        <x:v>PM-00264</x:v>
      </x:c>
      <x:c r="C267" s="46" t="str">
        <x:v>asset</x:v>
      </x:c>
      <x:c r="D267" s="46" t="str">
        <x:v>AST-0023</x:v>
      </x:c>
      <x:c r="E267" s="46" t="str"/>
      <x:c r="F267" s="47" t="b">
        <x:v>1</x:v>
      </x:c>
    </x:row>
    <x:row r="268">
      <x:c r="A268" s="46" t="str">
        <x:v>PT-00265</x:v>
      </x:c>
      <x:c r="B268" s="46" t="str">
        <x:v>PM-00265</x:v>
      </x:c>
      <x:c r="C268" s="46" t="str">
        <x:v>asset</x:v>
      </x:c>
      <x:c r="D268" s="46" t="str">
        <x:v>AST-0023</x:v>
      </x:c>
      <x:c r="E268" s="46" t="str"/>
      <x:c r="F268" s="47" t="b">
        <x:v>1</x:v>
      </x:c>
    </x:row>
    <x:row r="269">
      <x:c r="A269" s="46" t="str">
        <x:v>PT-00266</x:v>
      </x:c>
      <x:c r="B269" s="46" t="str">
        <x:v>PM-00266</x:v>
      </x:c>
      <x:c r="C269" s="46" t="str">
        <x:v>asset</x:v>
      </x:c>
      <x:c r="D269" s="46" t="str">
        <x:v>AST-0023</x:v>
      </x:c>
      <x:c r="E269" s="46" t="str"/>
      <x:c r="F269" s="47" t="b">
        <x:v>1</x:v>
      </x:c>
    </x:row>
    <x:row r="270">
      <x:c r="A270" s="46" t="str">
        <x:v>PT-00267</x:v>
      </x:c>
      <x:c r="B270" s="46" t="str">
        <x:v>PM-00267</x:v>
      </x:c>
      <x:c r="C270" s="46" t="str">
        <x:v>asset</x:v>
      </x:c>
      <x:c r="D270" s="46" t="str">
        <x:v>AST-0027</x:v>
      </x:c>
      <x:c r="E270" s="46" t="str"/>
      <x:c r="F270" s="47" t="b">
        <x:v>1</x:v>
      </x:c>
    </x:row>
    <x:row r="271">
      <x:c r="A271" s="46" t="str">
        <x:v>PT-00268</x:v>
      </x:c>
      <x:c r="B271" s="46" t="str">
        <x:v>PM-00268</x:v>
      </x:c>
      <x:c r="C271" s="46" t="str">
        <x:v>asset</x:v>
      </x:c>
      <x:c r="D271" s="46" t="str">
        <x:v>AST-0027</x:v>
      </x:c>
      <x:c r="E271" s="46" t="str"/>
      <x:c r="F271" s="47" t="b">
        <x:v>1</x:v>
      </x:c>
    </x:row>
    <x:row r="272">
      <x:c r="A272" s="46" t="str">
        <x:v>PT-00269</x:v>
      </x:c>
      <x:c r="B272" s="46" t="str">
        <x:v>PM-00269</x:v>
      </x:c>
      <x:c r="C272" s="46" t="str">
        <x:v>asset</x:v>
      </x:c>
      <x:c r="D272" s="46" t="str">
        <x:v>AST-0027</x:v>
      </x:c>
      <x:c r="E272" s="46" t="str"/>
      <x:c r="F272" s="47" t="b">
        <x:v>1</x:v>
      </x:c>
    </x:row>
    <x:row r="273">
      <x:c r="A273" s="46" t="str">
        <x:v>PT-00270</x:v>
      </x:c>
      <x:c r="B273" s="46" t="str">
        <x:v>PM-00270</x:v>
      </x:c>
      <x:c r="C273" s="46" t="str">
        <x:v>asset</x:v>
      </x:c>
      <x:c r="D273" s="46" t="str">
        <x:v>AST-0027</x:v>
      </x:c>
      <x:c r="E273" s="46" t="str"/>
      <x:c r="F273" s="47" t="b">
        <x:v>1</x:v>
      </x:c>
    </x:row>
    <x:row r="274">
      <x:c r="A274" s="46" t="str">
        <x:v>PT-00271</x:v>
      </x:c>
      <x:c r="B274" s="46" t="str">
        <x:v>PM-00271</x:v>
      </x:c>
      <x:c r="C274" s="46" t="str">
        <x:v>asset</x:v>
      </x:c>
      <x:c r="D274" s="46" t="str">
        <x:v>AST-0027</x:v>
      </x:c>
      <x:c r="E274" s="46" t="str"/>
      <x:c r="F274" s="47" t="b">
        <x:v>1</x:v>
      </x:c>
    </x:row>
    <x:row r="275">
      <x:c r="A275" s="46" t="str">
        <x:v>PT-00272</x:v>
      </x:c>
      <x:c r="B275" s="46" t="str">
        <x:v>PM-00272</x:v>
      </x:c>
      <x:c r="C275" s="46" t="str">
        <x:v>asset</x:v>
      </x:c>
      <x:c r="D275" s="46" t="str">
        <x:v>AST-0027</x:v>
      </x:c>
      <x:c r="E275" s="46" t="str"/>
      <x:c r="F275" s="47" t="b">
        <x:v>1</x:v>
      </x:c>
    </x:row>
    <x:row r="276">
      <x:c r="A276" s="46" t="str">
        <x:v>PT-00273</x:v>
      </x:c>
      <x:c r="B276" s="46" t="str">
        <x:v>PM-00273</x:v>
      </x:c>
      <x:c r="C276" s="46" t="str">
        <x:v>asset</x:v>
      </x:c>
      <x:c r="D276" s="46" t="str">
        <x:v>AST-0027</x:v>
      </x:c>
      <x:c r="E276" s="46" t="str"/>
      <x:c r="F276" s="47" t="b">
        <x:v>1</x:v>
      </x:c>
    </x:row>
    <x:row r="277">
      <x:c r="A277" s="46" t="str">
        <x:v>PT-00274</x:v>
      </x:c>
      <x:c r="B277" s="46" t="str">
        <x:v>PM-00274</x:v>
      </x:c>
      <x:c r="C277" s="46" t="str">
        <x:v>asset</x:v>
      </x:c>
      <x:c r="D277" s="46" t="str">
        <x:v>AST-0025</x:v>
      </x:c>
      <x:c r="E277" s="46" t="str"/>
      <x:c r="F277" s="47" t="b">
        <x:v>1</x:v>
      </x:c>
    </x:row>
    <x:row r="278">
      <x:c r="A278" s="46" t="str">
        <x:v>PT-00275</x:v>
      </x:c>
      <x:c r="B278" s="46" t="str">
        <x:v>PM-00275</x:v>
      </x:c>
      <x:c r="C278" s="46" t="str">
        <x:v>asset</x:v>
      </x:c>
      <x:c r="D278" s="46" t="str">
        <x:v>AST-0025</x:v>
      </x:c>
      <x:c r="E278" s="46" t="str"/>
      <x:c r="F278" s="47" t="b">
        <x:v>1</x:v>
      </x:c>
    </x:row>
    <x:row r="279">
      <x:c r="A279" s="46" t="str">
        <x:v>PT-00276</x:v>
      </x:c>
      <x:c r="B279" s="46" t="str">
        <x:v>PM-00276</x:v>
      </x:c>
      <x:c r="C279" s="46" t="str">
        <x:v>asset</x:v>
      </x:c>
      <x:c r="D279" s="46" t="str">
        <x:v>AST-0025</x:v>
      </x:c>
      <x:c r="E279" s="46" t="str"/>
      <x:c r="F279" s="47" t="b">
        <x:v>1</x:v>
      </x:c>
    </x:row>
    <x:row r="280">
      <x:c r="A280" s="46" t="str">
        <x:v>PT-00277</x:v>
      </x:c>
      <x:c r="B280" s="46" t="str">
        <x:v>PM-00277</x:v>
      </x:c>
      <x:c r="C280" s="46" t="str">
        <x:v>asset</x:v>
      </x:c>
      <x:c r="D280" s="46" t="str">
        <x:v>AST-0025</x:v>
      </x:c>
      <x:c r="E280" s="46" t="str"/>
      <x:c r="F280" s="47" t="b">
        <x:v>1</x:v>
      </x:c>
    </x:row>
    <x:row r="281">
      <x:c r="A281" s="46" t="str">
        <x:v>PT-00278</x:v>
      </x:c>
      <x:c r="B281" s="46" t="str">
        <x:v>PM-00278</x:v>
      </x:c>
      <x:c r="C281" s="46" t="str">
        <x:v>asset</x:v>
      </x:c>
      <x:c r="D281" s="46" t="str">
        <x:v>AST-0025</x:v>
      </x:c>
      <x:c r="E281" s="46" t="str"/>
      <x:c r="F281" s="47" t="b">
        <x:v>1</x:v>
      </x:c>
    </x:row>
    <x:row r="282">
      <x:c r="A282" s="46" t="str">
        <x:v>PT-00279</x:v>
      </x:c>
      <x:c r="B282" s="46" t="str">
        <x:v>PM-00279</x:v>
      </x:c>
      <x:c r="C282" s="46" t="str">
        <x:v>asset</x:v>
      </x:c>
      <x:c r="D282" s="46" t="str">
        <x:v>AST-0025</x:v>
      </x:c>
      <x:c r="E282" s="46" t="str"/>
      <x:c r="F282" s="47" t="b">
        <x:v>1</x:v>
      </x:c>
    </x:row>
    <x:row r="283">
      <x:c r="A283" s="46" t="str">
        <x:v>PT-00280</x:v>
      </x:c>
      <x:c r="B283" s="46" t="str">
        <x:v>PM-00280</x:v>
      </x:c>
      <x:c r="C283" s="46" t="str">
        <x:v>asset</x:v>
      </x:c>
      <x:c r="D283" s="46" t="str">
        <x:v>AST-0025</x:v>
      </x:c>
      <x:c r="E283" s="46" t="str"/>
      <x:c r="F283" s="47" t="b">
        <x:v>1</x:v>
      </x:c>
    </x:row>
    <x:row r="284">
      <x:c r="A284" s="46" t="str">
        <x:v>PT-00281</x:v>
      </x:c>
      <x:c r="B284" s="46" t="str">
        <x:v>PM-00281</x:v>
      </x:c>
      <x:c r="C284" s="46" t="str">
        <x:v>asset</x:v>
      </x:c>
      <x:c r="D284" s="46" t="str">
        <x:v>AST-0025</x:v>
      </x:c>
      <x:c r="E284" s="46" t="str"/>
      <x:c r="F284" s="47" t="b">
        <x:v>1</x:v>
      </x:c>
    </x:row>
    <x:row r="285">
      <x:c r="A285" s="46" t="str">
        <x:v>PT-00282</x:v>
      </x:c>
      <x:c r="B285" s="46" t="str">
        <x:v>PM-00282</x:v>
      </x:c>
      <x:c r="C285" s="46" t="str">
        <x:v>asset</x:v>
      </x:c>
      <x:c r="D285" s="46" t="str">
        <x:v>AST-0025</x:v>
      </x:c>
      <x:c r="E285" s="46" t="str"/>
      <x:c r="F285" s="47" t="b">
        <x:v>1</x:v>
      </x:c>
    </x:row>
    <x:row r="286">
      <x:c r="A286" s="46" t="str">
        <x:v>PT-00283</x:v>
      </x:c>
      <x:c r="B286" s="46" t="str">
        <x:v>PM-00283</x:v>
      </x:c>
      <x:c r="C286" s="46" t="str">
        <x:v>asset</x:v>
      </x:c>
      <x:c r="D286" s="46" t="str">
        <x:v>AST-0025</x:v>
      </x:c>
      <x:c r="E286" s="46" t="str"/>
      <x:c r="F286" s="47" t="b">
        <x:v>1</x:v>
      </x:c>
    </x:row>
    <x:row r="287">
      <x:c r="A287" s="46" t="str">
        <x:v>PT-00284</x:v>
      </x:c>
      <x:c r="B287" s="46" t="str">
        <x:v>PM-00284</x:v>
      </x:c>
      <x:c r="C287" s="46" t="str">
        <x:v>asset</x:v>
      </x:c>
      <x:c r="D287" s="46" t="str">
        <x:v>AST-0025</x:v>
      </x:c>
      <x:c r="E287" s="46" t="str"/>
      <x:c r="F287" s="47" t="b">
        <x:v>1</x:v>
      </x:c>
    </x:row>
    <x:row r="288">
      <x:c r="A288" s="46" t="str">
        <x:v>PT-00285</x:v>
      </x:c>
      <x:c r="B288" s="46" t="str">
        <x:v>PM-00285</x:v>
      </x:c>
      <x:c r="C288" s="46" t="str">
        <x:v>asset</x:v>
      </x:c>
      <x:c r="D288" s="46" t="str">
        <x:v>AST-0025</x:v>
      </x:c>
      <x:c r="E288" s="46" t="str"/>
      <x:c r="F288" s="47" t="b">
        <x:v>1</x:v>
      </x:c>
    </x:row>
    <x:row r="289">
      <x:c r="A289" s="46" t="str">
        <x:v>PT-00286</x:v>
      </x:c>
      <x:c r="B289" s="46" t="str">
        <x:v>PM-00286</x:v>
      </x:c>
      <x:c r="C289" s="46" t="str">
        <x:v>asset</x:v>
      </x:c>
      <x:c r="D289" s="46" t="str">
        <x:v>AST-0026</x:v>
      </x:c>
      <x:c r="E289" s="46" t="str"/>
      <x:c r="F289" s="47" t="b">
        <x:v>1</x:v>
      </x:c>
    </x:row>
    <x:row r="290">
      <x:c r="A290" s="46" t="str">
        <x:v>PT-00287</x:v>
      </x:c>
      <x:c r="B290" s="46" t="str">
        <x:v>PM-00287</x:v>
      </x:c>
      <x:c r="C290" s="46" t="str">
        <x:v>asset</x:v>
      </x:c>
      <x:c r="D290" s="46" t="str">
        <x:v>AST-0026</x:v>
      </x:c>
      <x:c r="E290" s="46" t="str"/>
      <x:c r="F290" s="47" t="b">
        <x:v>1</x:v>
      </x:c>
    </x:row>
    <x:row r="291">
      <x:c r="A291" s="46" t="str">
        <x:v>PT-00288</x:v>
      </x:c>
      <x:c r="B291" s="46" t="str">
        <x:v>PM-00288</x:v>
      </x:c>
      <x:c r="C291" s="46" t="str">
        <x:v>asset</x:v>
      </x:c>
      <x:c r="D291" s="46" t="str">
        <x:v>AST-0026</x:v>
      </x:c>
      <x:c r="E291" s="46" t="str"/>
      <x:c r="F291" s="47" t="b">
        <x:v>1</x:v>
      </x:c>
    </x:row>
    <x:row r="292">
      <x:c r="A292" s="46" t="str">
        <x:v>PT-00289</x:v>
      </x:c>
      <x:c r="B292" s="46" t="str">
        <x:v>PM-00289</x:v>
      </x:c>
      <x:c r="C292" s="46" t="str">
        <x:v>asset</x:v>
      </x:c>
      <x:c r="D292" s="46" t="str">
        <x:v>AST-0026</x:v>
      </x:c>
      <x:c r="E292" s="46" t="str"/>
      <x:c r="F292" s="47" t="b">
        <x:v>1</x:v>
      </x:c>
    </x:row>
    <x:row r="293">
      <x:c r="A293" s="46" t="str">
        <x:v>PT-00290</x:v>
      </x:c>
      <x:c r="B293" s="46" t="str">
        <x:v>PM-00290</x:v>
      </x:c>
      <x:c r="C293" s="46" t="str">
        <x:v>asset</x:v>
      </x:c>
      <x:c r="D293" s="46" t="str">
        <x:v>AST-0026</x:v>
      </x:c>
      <x:c r="E293" s="46" t="str"/>
      <x:c r="F293" s="47" t="b">
        <x:v>1</x:v>
      </x:c>
    </x:row>
    <x:row r="294">
      <x:c r="A294" s="46" t="str">
        <x:v>PT-00291</x:v>
      </x:c>
      <x:c r="B294" s="46" t="str">
        <x:v>PM-00291</x:v>
      </x:c>
      <x:c r="C294" s="46" t="str">
        <x:v>asset</x:v>
      </x:c>
      <x:c r="D294" s="46" t="str">
        <x:v>AST-0026</x:v>
      </x:c>
      <x:c r="E294" s="46" t="str"/>
      <x:c r="F294" s="47" t="b">
        <x:v>1</x:v>
      </x:c>
    </x:row>
    <x:row r="295">
      <x:c r="A295" s="46" t="str">
        <x:v>PT-00292</x:v>
      </x:c>
      <x:c r="B295" s="46" t="str">
        <x:v>PM-00292</x:v>
      </x:c>
      <x:c r="C295" s="46" t="str">
        <x:v>asset</x:v>
      </x:c>
      <x:c r="D295" s="46" t="str">
        <x:v>AST-0028</x:v>
      </x:c>
      <x:c r="E295" s="46" t="str"/>
      <x:c r="F295" s="47" t="b">
        <x:v>1</x:v>
      </x:c>
    </x:row>
    <x:row r="296">
      <x:c r="A296" s="46" t="str">
        <x:v>PT-00293</x:v>
      </x:c>
      <x:c r="B296" s="46" t="str">
        <x:v>PM-00293</x:v>
      </x:c>
      <x:c r="C296" s="46" t="str">
        <x:v>asset</x:v>
      </x:c>
      <x:c r="D296" s="46" t="str">
        <x:v>AST-0028</x:v>
      </x:c>
      <x:c r="E296" s="46" t="str"/>
      <x:c r="F296" s="47" t="b">
        <x:v>1</x:v>
      </x:c>
    </x:row>
    <x:row r="297">
      <x:c r="A297" s="46" t="str">
        <x:v>PT-00294</x:v>
      </x:c>
      <x:c r="B297" s="46" t="str">
        <x:v>PM-00294</x:v>
      </x:c>
      <x:c r="C297" s="46" t="str">
        <x:v>asset</x:v>
      </x:c>
      <x:c r="D297" s="46" t="str">
        <x:v>AST-0028</x:v>
      </x:c>
      <x:c r="E297" s="46" t="str"/>
      <x:c r="F297" s="47" t="b">
        <x:v>1</x:v>
      </x:c>
    </x:row>
    <x:row r="298">
      <x:c r="A298" s="46" t="str">
        <x:v>PT-00295</x:v>
      </x:c>
      <x:c r="B298" s="46" t="str">
        <x:v>PM-00295</x:v>
      </x:c>
      <x:c r="C298" s="46" t="str">
        <x:v>asset</x:v>
      </x:c>
      <x:c r="D298" s="46" t="str">
        <x:v>AST-0028</x:v>
      </x:c>
      <x:c r="E298" s="46" t="str"/>
      <x:c r="F298" s="47" t="b">
        <x:v>1</x:v>
      </x:c>
    </x:row>
    <x:row r="299">
      <x:c r="A299" s="46" t="str">
        <x:v>PT-00296</x:v>
      </x:c>
      <x:c r="B299" s="46" t="str">
        <x:v>PM-00296</x:v>
      </x:c>
      <x:c r="C299" s="46" t="str">
        <x:v>asset</x:v>
      </x:c>
      <x:c r="D299" s="46" t="str">
        <x:v>AST-0028</x:v>
      </x:c>
      <x:c r="E299" s="46" t="str"/>
      <x:c r="F299" s="47" t="b">
        <x:v>1</x:v>
      </x:c>
    </x:row>
    <x:row r="300">
      <x:c r="A300" s="46" t="str">
        <x:v>PT-00297</x:v>
      </x:c>
      <x:c r="B300" s="46" t="str">
        <x:v>PM-00297</x:v>
      </x:c>
      <x:c r="C300" s="46" t="str">
        <x:v>asset</x:v>
      </x:c>
      <x:c r="D300" s="46" t="str">
        <x:v>AST-0028</x:v>
      </x:c>
      <x:c r="E300" s="46" t="str"/>
      <x:c r="F300" s="47" t="b">
        <x:v>1</x:v>
      </x:c>
    </x:row>
    <x:row r="301">
      <x:c r="A301" s="46" t="str">
        <x:v>PT-00298</x:v>
      </x:c>
      <x:c r="B301" s="46" t="str">
        <x:v>PM-00298</x:v>
      </x:c>
      <x:c r="C301" s="46" t="str">
        <x:v>asset</x:v>
      </x:c>
      <x:c r="D301" s="46" t="str">
        <x:v>AST-0028</x:v>
      </x:c>
      <x:c r="E301" s="46" t="str"/>
      <x:c r="F301" s="47" t="b">
        <x:v>1</x:v>
      </x:c>
    </x:row>
    <x:row r="302">
      <x:c r="A302" s="46" t="str">
        <x:v>PT-00299</x:v>
      </x:c>
      <x:c r="B302" s="46" t="str">
        <x:v>PM-00299</x:v>
      </x:c>
      <x:c r="C302" s="46" t="str">
        <x:v>asset</x:v>
      </x:c>
      <x:c r="D302" s="46" t="str">
        <x:v>AST-0024</x:v>
      </x:c>
      <x:c r="E302" s="46" t="str"/>
      <x:c r="F302" s="47" t="b">
        <x:v>1</x:v>
      </x:c>
    </x:row>
    <x:row r="303">
      <x:c r="A303" s="46" t="str">
        <x:v>PT-00300</x:v>
      </x:c>
      <x:c r="B303" s="46" t="str">
        <x:v>PM-00300</x:v>
      </x:c>
      <x:c r="C303" s="46" t="str">
        <x:v>asset</x:v>
      </x:c>
      <x:c r="D303" s="46" t="str">
        <x:v>AST-0024</x:v>
      </x:c>
      <x:c r="E303" s="46" t="str"/>
      <x:c r="F303" s="47" t="b">
        <x:v>1</x:v>
      </x:c>
    </x:row>
    <x:row r="304">
      <x:c r="A304" s="46" t="str">
        <x:v>PT-00301</x:v>
      </x:c>
      <x:c r="B304" s="46" t="str">
        <x:v>PM-00301</x:v>
      </x:c>
      <x:c r="C304" s="46" t="str">
        <x:v>asset</x:v>
      </x:c>
      <x:c r="D304" s="46" t="str">
        <x:v>AST-0024</x:v>
      </x:c>
      <x:c r="E304" s="46" t="str"/>
      <x:c r="F304" s="47" t="b">
        <x:v>1</x:v>
      </x:c>
    </x:row>
    <x:row r="305">
      <x:c r="A305" s="46" t="str">
        <x:v>PT-00302</x:v>
      </x:c>
      <x:c r="B305" s="46" t="str">
        <x:v>PM-00302</x:v>
      </x:c>
      <x:c r="C305" s="46" t="str">
        <x:v>asset</x:v>
      </x:c>
      <x:c r="D305" s="46" t="str">
        <x:v>AST-0024</x:v>
      </x:c>
      <x:c r="E305" s="46" t="str"/>
      <x:c r="F305" s="47" t="b">
        <x:v>1</x:v>
      </x:c>
    </x:row>
    <x:row r="306">
      <x:c r="A306" s="46" t="str">
        <x:v>PT-00303</x:v>
      </x:c>
      <x:c r="B306" s="46" t="str">
        <x:v>PM-00303</x:v>
      </x:c>
      <x:c r="C306" s="46" t="str">
        <x:v>asset</x:v>
      </x:c>
      <x:c r="D306" s="46" t="str">
        <x:v>AST-0024</x:v>
      </x:c>
      <x:c r="E306" s="46" t="str"/>
      <x:c r="F306" s="47" t="b">
        <x:v>1</x:v>
      </x:c>
    </x:row>
    <x:row r="307">
      <x:c r="A307" s="46" t="str">
        <x:v>PT-00304</x:v>
      </x:c>
      <x:c r="B307" s="46" t="str">
        <x:v>PM-00304</x:v>
      </x:c>
      <x:c r="C307" s="46" t="str">
        <x:v>asset</x:v>
      </x:c>
      <x:c r="D307" s="46" t="str">
        <x:v>AST-0024</x:v>
      </x:c>
      <x:c r="E307" s="46" t="str"/>
      <x:c r="F307" s="47" t="b">
        <x:v>1</x:v>
      </x:c>
    </x:row>
    <x:row r="308">
      <x:c r="A308" s="46" t="str">
        <x:v>PT-00305</x:v>
      </x:c>
      <x:c r="B308" s="46" t="str">
        <x:v>PM-00305</x:v>
      </x:c>
      <x:c r="C308" s="46" t="str">
        <x:v>asset</x:v>
      </x:c>
      <x:c r="D308" s="46" t="str">
        <x:v>AST-0024</x:v>
      </x:c>
      <x:c r="E308" s="46" t="str"/>
      <x:c r="F308" s="47" t="b">
        <x:v>1</x:v>
      </x:c>
    </x:row>
    <x:row r="309">
      <x:c r="A309" s="46" t="str">
        <x:v>PT-00306</x:v>
      </x:c>
      <x:c r="B309" s="46" t="str">
        <x:v>PM-00306</x:v>
      </x:c>
      <x:c r="C309" s="46" t="str">
        <x:v>asset</x:v>
      </x:c>
      <x:c r="D309" s="46" t="str">
        <x:v>AST-0024</x:v>
      </x:c>
      <x:c r="E309" s="46" t="str"/>
      <x:c r="F309" s="47" t="b">
        <x:v>1</x:v>
      </x:c>
    </x:row>
    <x:row r="310">
      <x:c r="A310" s="46" t="str">
        <x:v>PT-00307</x:v>
      </x:c>
      <x:c r="B310" s="46" t="str">
        <x:v>PM-00307</x:v>
      </x:c>
      <x:c r="C310" s="46" t="str">
        <x:v>asset</x:v>
      </x:c>
      <x:c r="D310" s="46" t="str">
        <x:v>AST-0024</x:v>
      </x:c>
      <x:c r="E310" s="46" t="str"/>
      <x:c r="F310" s="47" t="b">
        <x:v>1</x:v>
      </x:c>
    </x:row>
    <x:row r="311">
      <x:c r="A311" s="46" t="str">
        <x:v>PT-00308</x:v>
      </x:c>
      <x:c r="B311" s="46" t="str">
        <x:v>PM-00308</x:v>
      </x:c>
      <x:c r="C311" s="46" t="str">
        <x:v>asset</x:v>
      </x:c>
      <x:c r="D311" s="46" t="str">
        <x:v>AST-0024</x:v>
      </x:c>
      <x:c r="E311" s="46" t="str"/>
      <x:c r="F311" s="47" t="b">
        <x:v>1</x:v>
      </x:c>
    </x:row>
    <x:row r="312">
      <x:c r="A312" s="46" t="str">
        <x:v>PT-00309</x:v>
      </x:c>
      <x:c r="B312" s="46" t="str">
        <x:v>PM-00309</x:v>
      </x:c>
      <x:c r="C312" s="46" t="str">
        <x:v>asset</x:v>
      </x:c>
      <x:c r="D312" s="46" t="str">
        <x:v>AST-0024</x:v>
      </x:c>
      <x:c r="E312" s="46" t="str"/>
      <x:c r="F312" s="47" t="b">
        <x:v>1</x:v>
      </x:c>
    </x:row>
    <x:row r="313">
      <x:c r="A313" s="46" t="str">
        <x:v>PT-00310</x:v>
      </x:c>
      <x:c r="B313" s="46" t="str">
        <x:v>PM-00310</x:v>
      </x:c>
      <x:c r="C313" s="46" t="str">
        <x:v>asset</x:v>
      </x:c>
      <x:c r="D313" s="46" t="str">
        <x:v>AST-0024</x:v>
      </x:c>
      <x:c r="E313" s="46" t="str"/>
      <x:c r="F313" s="47" t="b">
        <x:v>1</x:v>
      </x:c>
    </x:row>
    <x:row r="314">
      <x:c r="A314" s="46" t="str">
        <x:v>PT-00311</x:v>
      </x:c>
      <x:c r="B314" s="46" t="str">
        <x:v>PM-00311</x:v>
      </x:c>
      <x:c r="C314" s="46" t="str">
        <x:v>asset</x:v>
      </x:c>
      <x:c r="D314" s="46" t="str">
        <x:v>AST-0024</x:v>
      </x:c>
      <x:c r="E314" s="46" t="str"/>
      <x:c r="F314" s="47" t="b">
        <x:v>1</x:v>
      </x:c>
    </x:row>
    <x:row r="315">
      <x:c r="A315" s="46" t="str">
        <x:v>PT-00312</x:v>
      </x:c>
      <x:c r="B315" s="46" t="str">
        <x:v>PM-00312</x:v>
      </x:c>
      <x:c r="C315" s="46" t="str">
        <x:v>asset</x:v>
      </x:c>
      <x:c r="D315" s="46" t="str">
        <x:v>AST-0024</x:v>
      </x:c>
      <x:c r="E315" s="46" t="str"/>
      <x:c r="F315" s="47" t="b">
        <x:v>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b5bc83928a242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</x:cols>
  <x:sheetData>
    <x:row r="1" ht="28" customHeight="1">
      <x:c r="A1" s="45" t="str">
        <x:v>Import Review Issues</x:v>
      </x:c>
      <x:c r="B1" s="45"/>
      <x:c r="C1" s="45"/>
      <x:c r="D1" s="45"/>
      <x:c r="E1" s="45"/>
      <x:c r="F1" s="45"/>
      <x:c r="G1" s="45"/>
      <x:c r="H1" s="45"/>
    </x:row>
    <x:row r="2">
      <x:c r="A2" s="46"/>
      <x:c r="B2" s="46"/>
      <x:c r="C2" s="46"/>
      <x:c r="D2" s="46"/>
      <x:c r="E2" s="46"/>
      <x:c r="F2" s="46"/>
      <x:c r="G2" s="46"/>
      <x:c r="H2" s="46"/>
    </x:row>
    <x:row r="3" ht="32" customHeight="1">
      <x:c r="A3" s="39" t="str">
        <x:v>issue_id</x:v>
      </x:c>
      <x:c r="B3" s="39" t="str">
        <x:v>severity</x:v>
      </x:c>
      <x:c r="C3" s="39" t="str">
        <x:v>entity_type</x:v>
      </x:c>
      <x:c r="D3" s="39" t="str">
        <x:v>entity_reference</x:v>
      </x:c>
      <x:c r="E3" s="39" t="str">
        <x:v>issue</x:v>
      </x:c>
      <x:c r="F3" s="39" t="str">
        <x:v>details</x:v>
      </x:c>
      <x:c r="G3" s="39" t="str">
        <x:v>recommended_action</x:v>
      </x:c>
      <x:c r="H3" s="39" t="str">
        <x:v>status</x:v>
      </x:c>
    </x:row>
    <x:row r="4">
      <x:c r="A4" s="46" t="str">
        <x:v>ISS-00001</x:v>
      </x:c>
      <x:c r="B4" s="46" t="str">
        <x:v>High</x:v>
      </x:c>
      <x:c r="C4" s="46" t="str">
        <x:v>Maintenance Plan</x:v>
      </x:c>
      <x:c r="D4" s="46" t="str">
        <x:v>PM-00180</x:v>
      </x:c>
      <x:c r="E4" s="46" t="str">
        <x:v>Missing planned duration</x:v>
      </x:c>
      <x:c r="F4" s="46" t="str">
        <x:v>Source duration is blank or could not be converted. Source row 182.</x:v>
      </x:c>
      <x:c r="G4" s="46" t="str">
        <x:v>Enter planned duration in minutes.</x:v>
      </x:c>
      <x:c r="H4" s="46" t="str">
        <x:v>Open</x:v>
      </x:c>
    </x:row>
    <x:row r="5">
      <x:c r="A5" s="46" t="str">
        <x:v>ISS-00002</x:v>
      </x:c>
      <x:c r="B5" s="46" t="str">
        <x:v>High</x:v>
      </x:c>
      <x:c r="C5" s="46" t="str">
        <x:v>Maintenance Plan</x:v>
      </x:c>
      <x:c r="D5" s="46" t="str">
        <x:v>PM-00224</x:v>
      </x:c>
      <x:c r="E5" s="46" t="str">
        <x:v>Missing planned duration</x:v>
      </x:c>
      <x:c r="F5" s="46" t="str">
        <x:v>Source duration is blank or could not be converted. Source row 226.</x:v>
      </x:c>
      <x:c r="G5" s="46" t="str">
        <x:v>Enter planned duration in minutes.</x:v>
      </x:c>
      <x:c r="H5" s="46" t="str">
        <x:v>Open</x:v>
      </x:c>
    </x:row>
    <x:row r="6">
      <x:c r="A6" s="46" t="str">
        <x:v>ISS-00003</x:v>
      </x:c>
      <x:c r="B6" s="46" t="str">
        <x:v>High</x:v>
      </x:c>
      <x:c r="C6" s="46" t="str">
        <x:v>Maintenance Plan</x:v>
      </x:c>
      <x:c r="D6" s="46" t="str">
        <x:v>PM-00225</x:v>
      </x:c>
      <x:c r="E6" s="46" t="str">
        <x:v>Missing planned duration</x:v>
      </x:c>
      <x:c r="F6" s="46" t="str">
        <x:v>Source duration is blank or could not be converted. Source row 227.</x:v>
      </x:c>
      <x:c r="G6" s="46" t="str">
        <x:v>Enter planned duration in minutes.</x:v>
      </x:c>
      <x:c r="H6" s="46" t="str">
        <x:v>Open</x:v>
      </x:c>
    </x:row>
    <x:row r="7">
      <x:c r="A7" s="46" t="str">
        <x:v>ISS-00004</x:v>
      </x:c>
      <x:c r="B7" s="46" t="str">
        <x:v>High</x:v>
      </x:c>
      <x:c r="C7" s="46" t="str">
        <x:v>Maintenance Plan</x:v>
      </x:c>
      <x:c r="D7" s="46" t="str">
        <x:v>PM-00226</x:v>
      </x:c>
      <x:c r="E7" s="46" t="str">
        <x:v>Missing planned duration</x:v>
      </x:c>
      <x:c r="F7" s="46" t="str">
        <x:v>Source duration is blank or could not be converted. Source row 228.</x:v>
      </x:c>
      <x:c r="G7" s="46" t="str">
        <x:v>Enter planned duration in minutes.</x:v>
      </x:c>
      <x:c r="H7" s="46" t="str">
        <x:v>Open</x:v>
      </x:c>
    </x:row>
    <x:row r="8">
      <x:c r="A8" s="46" t="str">
        <x:v>ISS-00005</x:v>
      </x:c>
      <x:c r="B8" s="46" t="str">
        <x:v>High</x:v>
      </x:c>
      <x:c r="C8" s="46" t="str">
        <x:v>Maintenance Plan</x:v>
      </x:c>
      <x:c r="D8" s="46" t="str">
        <x:v>PM-00227</x:v>
      </x:c>
      <x:c r="E8" s="46" t="str">
        <x:v>Missing planned duration</x:v>
      </x:c>
      <x:c r="F8" s="46" t="str">
        <x:v>Source duration is blank or could not be converted. Source row 229.</x:v>
      </x:c>
      <x:c r="G8" s="46" t="str">
        <x:v>Enter planned duration in minutes.</x:v>
      </x:c>
      <x:c r="H8" s="46" t="str">
        <x:v>Open</x:v>
      </x:c>
    </x:row>
    <x:row r="9">
      <x:c r="A9" s="46" t="str">
        <x:v>ISS-00006</x:v>
      </x:c>
      <x:c r="B9" s="46" t="str">
        <x:v>High</x:v>
      </x:c>
      <x:c r="C9" s="46" t="str">
        <x:v>Maintenance Plan</x:v>
      </x:c>
      <x:c r="D9" s="46" t="str">
        <x:v>PM-00228</x:v>
      </x:c>
      <x:c r="E9" s="46" t="str">
        <x:v>Missing planned duration</x:v>
      </x:c>
      <x:c r="F9" s="46" t="str">
        <x:v>Source duration is blank or could not be converted. Source row 230.</x:v>
      </x:c>
      <x:c r="G9" s="46" t="str">
        <x:v>Enter planned duration in minutes.</x:v>
      </x:c>
      <x:c r="H9" s="46" t="str">
        <x:v>Open</x:v>
      </x:c>
    </x:row>
    <x:row r="10">
      <x:c r="A10" s="46" t="str">
        <x:v>ISS-00007</x:v>
      </x:c>
      <x:c r="B10" s="46" t="str">
        <x:v>High</x:v>
      </x:c>
      <x:c r="C10" s="46" t="str">
        <x:v>Maintenance Plan</x:v>
      </x:c>
      <x:c r="D10" s="46" t="str">
        <x:v>PM-00229</x:v>
      </x:c>
      <x:c r="E10" s="46" t="str">
        <x:v>Missing planned duration</x:v>
      </x:c>
      <x:c r="F10" s="46" t="str">
        <x:v>Source duration is blank or could not be converted. Source row 231.</x:v>
      </x:c>
      <x:c r="G10" s="46" t="str">
        <x:v>Enter planned duration in minutes.</x:v>
      </x:c>
      <x:c r="H10" s="46" t="str">
        <x:v>Open</x:v>
      </x:c>
    </x:row>
    <x:row r="11">
      <x:c r="A11" s="46" t="str">
        <x:v>ISS-00008</x:v>
      </x:c>
      <x:c r="B11" s="46" t="str">
        <x:v>High</x:v>
      </x:c>
      <x:c r="C11" s="46" t="str">
        <x:v>Maintenance Plan</x:v>
      </x:c>
      <x:c r="D11" s="46" t="str">
        <x:v>PM-00230</x:v>
      </x:c>
      <x:c r="E11" s="46" t="str">
        <x:v>Missing planned duration</x:v>
      </x:c>
      <x:c r="F11" s="46" t="str">
        <x:v>Source duration is blank or could not be converted. Source row 232.</x:v>
      </x:c>
      <x:c r="G11" s="46" t="str">
        <x:v>Enter planned duration in minutes.</x:v>
      </x:c>
      <x:c r="H11" s="46" t="str">
        <x:v>Open</x:v>
      </x:c>
    </x:row>
    <x:row r="12">
      <x:c r="A12" s="46" t="str">
        <x:v>ISS-00009</x:v>
      </x:c>
      <x:c r="B12" s="46" t="str">
        <x:v>High</x:v>
      </x:c>
      <x:c r="C12" s="46" t="str">
        <x:v>Maintenance Plan</x:v>
      </x:c>
      <x:c r="D12" s="46" t="str">
        <x:v>PM-00231</x:v>
      </x:c>
      <x:c r="E12" s="46" t="str">
        <x:v>Missing planned duration</x:v>
      </x:c>
      <x:c r="F12" s="46" t="str">
        <x:v>Source duration is blank or could not be converted. Source row 233.</x:v>
      </x:c>
      <x:c r="G12" s="46" t="str">
        <x:v>Enter planned duration in minutes.</x:v>
      </x:c>
      <x:c r="H12" s="46" t="str">
        <x:v>Open</x:v>
      </x:c>
    </x:row>
    <x:row r="13">
      <x:c r="A13" s="46" t="str">
        <x:v>ISS-00010</x:v>
      </x:c>
      <x:c r="B13" s="46" t="str">
        <x:v>High</x:v>
      </x:c>
      <x:c r="C13" s="46" t="str">
        <x:v>Maintenance Plan</x:v>
      </x:c>
      <x:c r="D13" s="46" t="str">
        <x:v>PM-00232</x:v>
      </x:c>
      <x:c r="E13" s="46" t="str">
        <x:v>Missing planned duration</x:v>
      </x:c>
      <x:c r="F13" s="46" t="str">
        <x:v>Source duration is blank or could not be converted. Source row 234.</x:v>
      </x:c>
      <x:c r="G13" s="46" t="str">
        <x:v>Enter planned duration in minutes.</x:v>
      </x:c>
      <x:c r="H13" s="46" t="str">
        <x:v>Open</x:v>
      </x:c>
    </x:row>
    <x:row r="14">
      <x:c r="A14" s="46" t="str">
        <x:v>ISS-00011</x:v>
      </x:c>
      <x:c r="B14" s="46" t="str">
        <x:v>High</x:v>
      </x:c>
      <x:c r="C14" s="46" t="str">
        <x:v>Maintenance Plan</x:v>
      </x:c>
      <x:c r="D14" s="46" t="str">
        <x:v>PM-00233</x:v>
      </x:c>
      <x:c r="E14" s="46" t="str">
        <x:v>Missing planned duration</x:v>
      </x:c>
      <x:c r="F14" s="46" t="str">
        <x:v>Source duration is blank or could not be converted. Source row 235.</x:v>
      </x:c>
      <x:c r="G14" s="46" t="str">
        <x:v>Enter planned duration in minutes.</x:v>
      </x:c>
      <x:c r="H14" s="46" t="str">
        <x:v>Open</x:v>
      </x:c>
    </x:row>
    <x:row r="15">
      <x:c r="A15" s="46" t="str">
        <x:v>ISS-00012</x:v>
      </x:c>
      <x:c r="B15" s="46" t="str">
        <x:v>High</x:v>
      </x:c>
      <x:c r="C15" s="46" t="str">
        <x:v>Maintenance Plan</x:v>
      </x:c>
      <x:c r="D15" s="46" t="str">
        <x:v>PM-00234</x:v>
      </x:c>
      <x:c r="E15" s="46" t="str">
        <x:v>Missing planned duration</x:v>
      </x:c>
      <x:c r="F15" s="46" t="str">
        <x:v>Source duration is blank or could not be converted. Source row 236.</x:v>
      </x:c>
      <x:c r="G15" s="46" t="str">
        <x:v>Enter planned duration in minutes.</x:v>
      </x:c>
      <x:c r="H15" s="46" t="str">
        <x:v>Open</x:v>
      </x:c>
    </x:row>
    <x:row r="16">
      <x:c r="A16" s="46" t="str">
        <x:v>ISS-00013</x:v>
      </x:c>
      <x:c r="B16" s="46" t="str">
        <x:v>High</x:v>
      </x:c>
      <x:c r="C16" s="46" t="str">
        <x:v>Maintenance Plan</x:v>
      </x:c>
      <x:c r="D16" s="46" t="str">
        <x:v>PM-00235</x:v>
      </x:c>
      <x:c r="E16" s="46" t="str">
        <x:v>Missing planned duration</x:v>
      </x:c>
      <x:c r="F16" s="46" t="str">
        <x:v>Source duration is blank or could not be converted. Source row 237.</x:v>
      </x:c>
      <x:c r="G16" s="46" t="str">
        <x:v>Enter planned duration in minutes.</x:v>
      </x:c>
      <x:c r="H16" s="46" t="str">
        <x:v>Open</x:v>
      </x:c>
    </x:row>
    <x:row r="17">
      <x:c r="A17" s="46" t="str">
        <x:v>ISS-00014</x:v>
      </x:c>
      <x:c r="B17" s="46" t="str">
        <x:v>High</x:v>
      </x:c>
      <x:c r="C17" s="46" t="str">
        <x:v>Maintenance Plan</x:v>
      </x:c>
      <x:c r="D17" s="46" t="str">
        <x:v>PM-00236</x:v>
      </x:c>
      <x:c r="E17" s="46" t="str">
        <x:v>Missing planned duration</x:v>
      </x:c>
      <x:c r="F17" s="46" t="str">
        <x:v>Source duration is blank or could not be converted. Source row 238.</x:v>
      </x:c>
      <x:c r="G17" s="46" t="str">
        <x:v>Enter planned duration in minutes.</x:v>
      </x:c>
      <x:c r="H17" s="46" t="str">
        <x:v>Open</x:v>
      </x:c>
    </x:row>
    <x:row r="18">
      <x:c r="A18" s="46" t="str">
        <x:v>ISS-00015</x:v>
      </x:c>
      <x:c r="B18" s="46" t="str">
        <x:v>High</x:v>
      </x:c>
      <x:c r="C18" s="46" t="str">
        <x:v>Maintenance Plan</x:v>
      </x:c>
      <x:c r="D18" s="46" t="str">
        <x:v>PM-00237</x:v>
      </x:c>
      <x:c r="E18" s="46" t="str">
        <x:v>Missing planned duration</x:v>
      </x:c>
      <x:c r="F18" s="46" t="str">
        <x:v>Source duration is blank or could not be converted. Source row 239.</x:v>
      </x:c>
      <x:c r="G18" s="46" t="str">
        <x:v>Enter planned duration in minutes.</x:v>
      </x:c>
      <x:c r="H18" s="46" t="str">
        <x:v>Open</x:v>
      </x:c>
    </x:row>
    <x:row r="19">
      <x:c r="A19" s="46" t="str">
        <x:v>ISS-00016</x:v>
      </x:c>
      <x:c r="B19" s="46" t="str">
        <x:v>High</x:v>
      </x:c>
      <x:c r="C19" s="46" t="str">
        <x:v>Maintenance Plan</x:v>
      </x:c>
      <x:c r="D19" s="46" t="str">
        <x:v>PM-00238</x:v>
      </x:c>
      <x:c r="E19" s="46" t="str">
        <x:v>Missing planned duration</x:v>
      </x:c>
      <x:c r="F19" s="46" t="str">
        <x:v>Source duration is blank or could not be converted. Source row 240.</x:v>
      </x:c>
      <x:c r="G19" s="46" t="str">
        <x:v>Enter planned duration in minutes.</x:v>
      </x:c>
      <x:c r="H19" s="46" t="str">
        <x:v>Open</x:v>
      </x:c>
    </x:row>
    <x:row r="20">
      <x:c r="A20" s="46" t="str">
        <x:v>ISS-00017</x:v>
      </x:c>
      <x:c r="B20" s="46" t="str">
        <x:v>High</x:v>
      </x:c>
      <x:c r="C20" s="46" t="str">
        <x:v>Maintenance Plan</x:v>
      </x:c>
      <x:c r="D20" s="46" t="str">
        <x:v>PM-00239</x:v>
      </x:c>
      <x:c r="E20" s="46" t="str">
        <x:v>Missing planned duration</x:v>
      </x:c>
      <x:c r="F20" s="46" t="str">
        <x:v>Source duration is blank or could not be converted. Source row 241.</x:v>
      </x:c>
      <x:c r="G20" s="46" t="str">
        <x:v>Enter planned duration in minutes.</x:v>
      </x:c>
      <x:c r="H20" s="46" t="str">
        <x:v>Open</x:v>
      </x:c>
    </x:row>
    <x:row r="21">
      <x:c r="A21" s="46" t="str">
        <x:v>ISS-00018</x:v>
      </x:c>
      <x:c r="B21" s="46" t="str">
        <x:v>High</x:v>
      </x:c>
      <x:c r="C21" s="46" t="str">
        <x:v>Maintenance Plan</x:v>
      </x:c>
      <x:c r="D21" s="46" t="str">
        <x:v>PM-00240</x:v>
      </x:c>
      <x:c r="E21" s="46" t="str">
        <x:v>Missing planned duration</x:v>
      </x:c>
      <x:c r="F21" s="46" t="str">
        <x:v>Source duration is blank or could not be converted. Source row 242.</x:v>
      </x:c>
      <x:c r="G21" s="46" t="str">
        <x:v>Enter planned duration in minutes.</x:v>
      </x:c>
      <x:c r="H21" s="46" t="str">
        <x:v>Open</x:v>
      </x:c>
    </x:row>
    <x:row r="22">
      <x:c r="A22" s="46" t="str">
        <x:v>ISS-00019</x:v>
      </x:c>
      <x:c r="B22" s="46" t="str">
        <x:v>High</x:v>
      </x:c>
      <x:c r="C22" s="46" t="str">
        <x:v>Maintenance Plan</x:v>
      </x:c>
      <x:c r="D22" s="46" t="str">
        <x:v>PM-00241</x:v>
      </x:c>
      <x:c r="E22" s="46" t="str">
        <x:v>Missing planned duration</x:v>
      </x:c>
      <x:c r="F22" s="46" t="str">
        <x:v>Source duration is blank or could not be converted. Source row 243.</x:v>
      </x:c>
      <x:c r="G22" s="46" t="str">
        <x:v>Enter planned duration in minutes.</x:v>
      </x:c>
      <x:c r="H22" s="46" t="str">
        <x:v>Open</x:v>
      </x:c>
    </x:row>
    <x:row r="23">
      <x:c r="A23" s="46" t="str">
        <x:v>ISS-00020</x:v>
      </x:c>
      <x:c r="B23" s="46" t="str">
        <x:v>High</x:v>
      </x:c>
      <x:c r="C23" s="46" t="str">
        <x:v>Maintenance Plan</x:v>
      </x:c>
      <x:c r="D23" s="46" t="str">
        <x:v>PM-00242</x:v>
      </x:c>
      <x:c r="E23" s="46" t="str">
        <x:v>Missing planned duration</x:v>
      </x:c>
      <x:c r="F23" s="46" t="str">
        <x:v>Source duration is blank or could not be converted. Source row 244.</x:v>
      </x:c>
      <x:c r="G23" s="46" t="str">
        <x:v>Enter planned duration in minutes.</x:v>
      </x:c>
      <x:c r="H23" s="46" t="str">
        <x:v>Open</x:v>
      </x:c>
    </x:row>
    <x:row r="24">
      <x:c r="A24" s="46" t="str">
        <x:v>ISS-00021</x:v>
      </x:c>
      <x:c r="B24" s="46" t="str">
        <x:v>High</x:v>
      </x:c>
      <x:c r="C24" s="46" t="str">
        <x:v>Maintenance Plan</x:v>
      </x:c>
      <x:c r="D24" s="46" t="str">
        <x:v>PM-00243</x:v>
      </x:c>
      <x:c r="E24" s="46" t="str">
        <x:v>Missing planned duration</x:v>
      </x:c>
      <x:c r="F24" s="46" t="str">
        <x:v>Source duration is blank or could not be converted. Source row 245.</x:v>
      </x:c>
      <x:c r="G24" s="46" t="str">
        <x:v>Enter planned duration in minutes.</x:v>
      </x:c>
      <x:c r="H24" s="46" t="str">
        <x:v>Open</x:v>
      </x:c>
    </x:row>
    <x:row r="25">
      <x:c r="A25" s="46" t="str">
        <x:v>ISS-00022</x:v>
      </x:c>
      <x:c r="B25" s="46" t="str">
        <x:v>High</x:v>
      </x:c>
      <x:c r="C25" s="46" t="str">
        <x:v>Maintenance Plan</x:v>
      </x:c>
      <x:c r="D25" s="46" t="str">
        <x:v>PM-00244</x:v>
      </x:c>
      <x:c r="E25" s="46" t="str">
        <x:v>Missing planned duration</x:v>
      </x:c>
      <x:c r="F25" s="46" t="str">
        <x:v>Source duration is blank or could not be converted. Source row 246.</x:v>
      </x:c>
      <x:c r="G25" s="46" t="str">
        <x:v>Enter planned duration in minutes.</x:v>
      </x:c>
      <x:c r="H25" s="46" t="str">
        <x:v>Open</x:v>
      </x:c>
    </x:row>
    <x:row r="26">
      <x:c r="A26" s="46" t="str">
        <x:v>ISS-00023</x:v>
      </x:c>
      <x:c r="B26" s="46" t="str">
        <x:v>High</x:v>
      </x:c>
      <x:c r="C26" s="46" t="str">
        <x:v>Maintenance Plan</x:v>
      </x:c>
      <x:c r="D26" s="46" t="str">
        <x:v>PM-00245</x:v>
      </x:c>
      <x:c r="E26" s="46" t="str">
        <x:v>Missing planned duration</x:v>
      </x:c>
      <x:c r="F26" s="46" t="str">
        <x:v>Source duration is blank or could not be converted. Source row 247.</x:v>
      </x:c>
      <x:c r="G26" s="46" t="str">
        <x:v>Enter planned duration in minutes.</x:v>
      </x:c>
      <x:c r="H26" s="46" t="str">
        <x:v>Open</x:v>
      </x:c>
    </x:row>
    <x:row r="27">
      <x:c r="A27" s="46" t="str">
        <x:v>ISS-00024</x:v>
      </x:c>
      <x:c r="B27" s="46" t="str">
        <x:v>High</x:v>
      </x:c>
      <x:c r="C27" s="46" t="str">
        <x:v>Maintenance Plan</x:v>
      </x:c>
      <x:c r="D27" s="46" t="str">
        <x:v>PM-00246</x:v>
      </x:c>
      <x:c r="E27" s="46" t="str">
        <x:v>Missing planned duration</x:v>
      </x:c>
      <x:c r="F27" s="46" t="str">
        <x:v>Source duration is blank or could not be converted. Source row 248.</x:v>
      </x:c>
      <x:c r="G27" s="46" t="str">
        <x:v>Enter planned duration in minutes.</x:v>
      </x:c>
      <x:c r="H27" s="46" t="str">
        <x:v>Open</x:v>
      </x:c>
    </x:row>
    <x:row r="28">
      <x:c r="A28" s="46" t="str">
        <x:v>ISS-00025</x:v>
      </x:c>
      <x:c r="B28" s="46" t="str">
        <x:v>High</x:v>
      </x:c>
      <x:c r="C28" s="46" t="str">
        <x:v>Maintenance Plan</x:v>
      </x:c>
      <x:c r="D28" s="46" t="str">
        <x:v>PM-00247</x:v>
      </x:c>
      <x:c r="E28" s="46" t="str">
        <x:v>Missing planned duration</x:v>
      </x:c>
      <x:c r="F28" s="46" t="str">
        <x:v>Source duration is blank or could not be converted. Source row 249.</x:v>
      </x:c>
      <x:c r="G28" s="46" t="str">
        <x:v>Enter planned duration in minutes.</x:v>
      </x:c>
      <x:c r="H28" s="46" t="str">
        <x:v>Open</x:v>
      </x:c>
    </x:row>
    <x:row r="29">
      <x:c r="A29" s="46" t="str">
        <x:v>ISS-00026</x:v>
      </x:c>
      <x:c r="B29" s="46" t="str">
        <x:v>High</x:v>
      </x:c>
      <x:c r="C29" s="46" t="str">
        <x:v>Maintenance Plan</x:v>
      </x:c>
      <x:c r="D29" s="46" t="str">
        <x:v>PM-00248</x:v>
      </x:c>
      <x:c r="E29" s="46" t="str">
        <x:v>Missing planned duration</x:v>
      </x:c>
      <x:c r="F29" s="46" t="str">
        <x:v>Source duration is blank or could not be converted. Source row 250.</x:v>
      </x:c>
      <x:c r="G29" s="46" t="str">
        <x:v>Enter planned duration in minutes.</x:v>
      </x:c>
      <x:c r="H29" s="46" t="str">
        <x:v>Open</x:v>
      </x:c>
    </x:row>
    <x:row r="30">
      <x:c r="A30" s="46" t="str">
        <x:v>ISS-00027</x:v>
      </x:c>
      <x:c r="B30" s="46" t="str">
        <x:v>High</x:v>
      </x:c>
      <x:c r="C30" s="46" t="str">
        <x:v>Maintenance Plan</x:v>
      </x:c>
      <x:c r="D30" s="46" t="str">
        <x:v>PM-00249</x:v>
      </x:c>
      <x:c r="E30" s="46" t="str">
        <x:v>Missing planned duration</x:v>
      </x:c>
      <x:c r="F30" s="46" t="str">
        <x:v>Source duration is blank or could not be converted. Source row 251.</x:v>
      </x:c>
      <x:c r="G30" s="46" t="str">
        <x:v>Enter planned duration in minutes.</x:v>
      </x:c>
      <x:c r="H30" s="46" t="str">
        <x:v>Open</x:v>
      </x:c>
    </x:row>
    <x:row r="31">
      <x:c r="A31" s="46" t="str">
        <x:v>ISS-00028</x:v>
      </x:c>
      <x:c r="B31" s="46" t="str">
        <x:v>High</x:v>
      </x:c>
      <x:c r="C31" s="46" t="str">
        <x:v>Maintenance Plan</x:v>
      </x:c>
      <x:c r="D31" s="46" t="str">
        <x:v>PM-00250</x:v>
      </x:c>
      <x:c r="E31" s="46" t="str">
        <x:v>Missing planned duration</x:v>
      </x:c>
      <x:c r="F31" s="46" t="str">
        <x:v>Source duration is blank or could not be converted. Source row 252.</x:v>
      </x:c>
      <x:c r="G31" s="46" t="str">
        <x:v>Enter planned duration in minutes.</x:v>
      </x:c>
      <x:c r="H31" s="46" t="str">
        <x:v>Open</x:v>
      </x:c>
    </x:row>
    <x:row r="32">
      <x:c r="A32" s="46" t="str">
        <x:v>ISS-00029</x:v>
      </x:c>
      <x:c r="B32" s="46" t="str">
        <x:v>High</x:v>
      </x:c>
      <x:c r="C32" s="46" t="str">
        <x:v>Maintenance Plan</x:v>
      </x:c>
      <x:c r="D32" s="46" t="str">
        <x:v>PM-00251</x:v>
      </x:c>
      <x:c r="E32" s="46" t="str">
        <x:v>Missing planned duration</x:v>
      </x:c>
      <x:c r="F32" s="46" t="str">
        <x:v>Source duration is blank or could not be converted. Source row 253.</x:v>
      </x:c>
      <x:c r="G32" s="46" t="str">
        <x:v>Enter planned duration in minutes.</x:v>
      </x:c>
      <x:c r="H32" s="46" t="str">
        <x:v>Open</x:v>
      </x:c>
    </x:row>
    <x:row r="33">
      <x:c r="A33" s="46" t="str">
        <x:v>ISS-00030</x:v>
      </x:c>
      <x:c r="B33" s="46" t="str">
        <x:v>High</x:v>
      </x:c>
      <x:c r="C33" s="46" t="str">
        <x:v>Maintenance Plan</x:v>
      </x:c>
      <x:c r="D33" s="46" t="str">
        <x:v>PM-00252</x:v>
      </x:c>
      <x:c r="E33" s="46" t="str">
        <x:v>Missing planned duration</x:v>
      </x:c>
      <x:c r="F33" s="46" t="str">
        <x:v>Source duration is blank or could not be converted. Source row 254.</x:v>
      </x:c>
      <x:c r="G33" s="46" t="str">
        <x:v>Enter planned duration in minutes.</x:v>
      </x:c>
      <x:c r="H33" s="46" t="str">
        <x:v>Open</x:v>
      </x:c>
    </x:row>
    <x:row r="34">
      <x:c r="A34" s="46" t="str">
        <x:v>ISS-00031</x:v>
      </x:c>
      <x:c r="B34" s="46" t="str">
        <x:v>High</x:v>
      </x:c>
      <x:c r="C34" s="46" t="str">
        <x:v>Maintenance Plan</x:v>
      </x:c>
      <x:c r="D34" s="46" t="str">
        <x:v>PM-00253</x:v>
      </x:c>
      <x:c r="E34" s="46" t="str">
        <x:v>Missing planned duration</x:v>
      </x:c>
      <x:c r="F34" s="46" t="str">
        <x:v>Source duration is blank or could not be converted. Source row 255.</x:v>
      </x:c>
      <x:c r="G34" s="46" t="str">
        <x:v>Enter planned duration in minutes.</x:v>
      </x:c>
      <x:c r="H34" s="46" t="str">
        <x:v>Open</x:v>
      </x:c>
    </x:row>
    <x:row r="35">
      <x:c r="A35" s="46" t="str">
        <x:v>ISS-00032</x:v>
      </x:c>
      <x:c r="B35" s="46" t="str">
        <x:v>High</x:v>
      </x:c>
      <x:c r="C35" s="46" t="str">
        <x:v>Maintenance Plan</x:v>
      </x:c>
      <x:c r="D35" s="46" t="str">
        <x:v>PM-00254</x:v>
      </x:c>
      <x:c r="E35" s="46" t="str">
        <x:v>Missing planned duration</x:v>
      </x:c>
      <x:c r="F35" s="46" t="str">
        <x:v>Source duration is blank or could not be converted. Source row 256.</x:v>
      </x:c>
      <x:c r="G35" s="46" t="str">
        <x:v>Enter planned duration in minutes.</x:v>
      </x:c>
      <x:c r="H35" s="46" t="str">
        <x:v>Open</x:v>
      </x:c>
    </x:row>
    <x:row r="36">
      <x:c r="A36" s="46" t="str">
        <x:v>ISS-00033</x:v>
      </x:c>
      <x:c r="B36" s="46" t="str">
        <x:v>High</x:v>
      </x:c>
      <x:c r="C36" s="46" t="str">
        <x:v>Maintenance Plan</x:v>
      </x:c>
      <x:c r="D36" s="46" t="str">
        <x:v>PM-00255</x:v>
      </x:c>
      <x:c r="E36" s="46" t="str">
        <x:v>Missing planned duration</x:v>
      </x:c>
      <x:c r="F36" s="46" t="str">
        <x:v>Source duration is blank or could not be converted. Source row 257.</x:v>
      </x:c>
      <x:c r="G36" s="46" t="str">
        <x:v>Enter planned duration in minutes.</x:v>
      </x:c>
      <x:c r="H36" s="46" t="str">
        <x:v>Open</x:v>
      </x:c>
    </x:row>
    <x:row r="37">
      <x:c r="A37" s="46" t="str">
        <x:v>ISS-00034</x:v>
      </x:c>
      <x:c r="B37" s="46" t="str">
        <x:v>High</x:v>
      </x:c>
      <x:c r="C37" s="46" t="str">
        <x:v>Maintenance Plan</x:v>
      </x:c>
      <x:c r="D37" s="46" t="str">
        <x:v>PM-00256</x:v>
      </x:c>
      <x:c r="E37" s="46" t="str">
        <x:v>Missing planned duration</x:v>
      </x:c>
      <x:c r="F37" s="46" t="str">
        <x:v>Source duration is blank or could not be converted. Source row 258.</x:v>
      </x:c>
      <x:c r="G37" s="46" t="str">
        <x:v>Enter planned duration in minutes.</x:v>
      </x:c>
      <x:c r="H37" s="46" t="str">
        <x:v>Open</x:v>
      </x:c>
    </x:row>
    <x:row r="38">
      <x:c r="A38" s="46" t="str">
        <x:v>ISS-00035</x:v>
      </x:c>
      <x:c r="B38" s="46" t="str">
        <x:v>High</x:v>
      </x:c>
      <x:c r="C38" s="46" t="str">
        <x:v>Maintenance Plan</x:v>
      </x:c>
      <x:c r="D38" s="46" t="str">
        <x:v>PM-00257</x:v>
      </x:c>
      <x:c r="E38" s="46" t="str">
        <x:v>Missing planned duration</x:v>
      </x:c>
      <x:c r="F38" s="46" t="str">
        <x:v>Source duration is blank or could not be converted. Source row 259.</x:v>
      </x:c>
      <x:c r="G38" s="46" t="str">
        <x:v>Enter planned duration in minutes.</x:v>
      </x:c>
      <x:c r="H38" s="46" t="str">
        <x:v>Open</x:v>
      </x:c>
    </x:row>
    <x:row r="39">
      <x:c r="A39" s="46" t="str">
        <x:v>ISS-00036</x:v>
      </x:c>
      <x:c r="B39" s="46" t="str">
        <x:v>High</x:v>
      </x:c>
      <x:c r="C39" s="46" t="str">
        <x:v>Maintenance Plan</x:v>
      </x:c>
      <x:c r="D39" s="46" t="str">
        <x:v>PM-00258</x:v>
      </x:c>
      <x:c r="E39" s="46" t="str">
        <x:v>Missing planned duration</x:v>
      </x:c>
      <x:c r="F39" s="46" t="str">
        <x:v>Source duration is blank or could not be converted. Source row 260.</x:v>
      </x:c>
      <x:c r="G39" s="46" t="str">
        <x:v>Enter planned duration in minutes.</x:v>
      </x:c>
      <x:c r="H39" s="46" t="str">
        <x:v>Open</x:v>
      </x:c>
    </x:row>
    <x:row r="40">
      <x:c r="A40" s="46" t="str">
        <x:v>ISS-00037</x:v>
      </x:c>
      <x:c r="B40" s="46" t="str">
        <x:v>High</x:v>
      </x:c>
      <x:c r="C40" s="46" t="str">
        <x:v>Maintenance Plan</x:v>
      </x:c>
      <x:c r="D40" s="46" t="str">
        <x:v>PM-00259</x:v>
      </x:c>
      <x:c r="E40" s="46" t="str">
        <x:v>Missing planned duration</x:v>
      </x:c>
      <x:c r="F40" s="46" t="str">
        <x:v>Source duration is blank or could not be converted. Source row 261.</x:v>
      </x:c>
      <x:c r="G40" s="46" t="str">
        <x:v>Enter planned duration in minutes.</x:v>
      </x:c>
      <x:c r="H40" s="46" t="str">
        <x:v>Open</x:v>
      </x:c>
    </x:row>
    <x:row r="41">
      <x:c r="A41" s="46" t="str">
        <x:v>ISS-00038</x:v>
      </x:c>
      <x:c r="B41" s="46" t="str">
        <x:v>High</x:v>
      </x:c>
      <x:c r="C41" s="46" t="str">
        <x:v>Maintenance Plan</x:v>
      </x:c>
      <x:c r="D41" s="46" t="str">
        <x:v>PM-00260</x:v>
      </x:c>
      <x:c r="E41" s="46" t="str">
        <x:v>Missing planned duration</x:v>
      </x:c>
      <x:c r="F41" s="46" t="str">
        <x:v>Source duration is blank or could not be converted. Source row 262.</x:v>
      </x:c>
      <x:c r="G41" s="46" t="str">
        <x:v>Enter planned duration in minutes.</x:v>
      </x:c>
      <x:c r="H41" s="46" t="str">
        <x:v>Open</x:v>
      </x:c>
    </x:row>
    <x:row r="42">
      <x:c r="A42" s="46" t="str">
        <x:v>ISS-00039</x:v>
      </x:c>
      <x:c r="B42" s="46" t="str">
        <x:v>High</x:v>
      </x:c>
      <x:c r="C42" s="46" t="str">
        <x:v>Maintenance Plan</x:v>
      </x:c>
      <x:c r="D42" s="46" t="str">
        <x:v>PM-00261</x:v>
      </x:c>
      <x:c r="E42" s="46" t="str">
        <x:v>Missing planned duration</x:v>
      </x:c>
      <x:c r="F42" s="46" t="str">
        <x:v>Source duration is blank or could not be converted. Source row 263.</x:v>
      </x:c>
      <x:c r="G42" s="46" t="str">
        <x:v>Enter planned duration in minutes.</x:v>
      </x:c>
      <x:c r="H42" s="46" t="str">
        <x:v>Open</x:v>
      </x:c>
    </x:row>
    <x:row r="43">
      <x:c r="A43" s="46" t="str">
        <x:v>ISS-00040</x:v>
      </x:c>
      <x:c r="B43" s="46" t="str">
        <x:v>High</x:v>
      </x:c>
      <x:c r="C43" s="46" t="str">
        <x:v>Maintenance Plan</x:v>
      </x:c>
      <x:c r="D43" s="46" t="str">
        <x:v>PM-00262</x:v>
      </x:c>
      <x:c r="E43" s="46" t="str">
        <x:v>Missing planned duration</x:v>
      </x:c>
      <x:c r="F43" s="46" t="str">
        <x:v>Source duration is blank or could not be converted. Source row 264.</x:v>
      </x:c>
      <x:c r="G43" s="46" t="str">
        <x:v>Enter planned duration in minutes.</x:v>
      </x:c>
      <x:c r="H43" s="46" t="str">
        <x:v>Open</x:v>
      </x:c>
    </x:row>
    <x:row r="44">
      <x:c r="A44" s="46" t="str">
        <x:v>ISS-00041</x:v>
      </x:c>
      <x:c r="B44" s="46" t="str">
        <x:v>High</x:v>
      </x:c>
      <x:c r="C44" s="46" t="str">
        <x:v>Maintenance Plan</x:v>
      </x:c>
      <x:c r="D44" s="46" t="str">
        <x:v>PM-00263</x:v>
      </x:c>
      <x:c r="E44" s="46" t="str">
        <x:v>Missing planned duration</x:v>
      </x:c>
      <x:c r="F44" s="46" t="str">
        <x:v>Source duration is blank or could not be converted. Source row 265.</x:v>
      </x:c>
      <x:c r="G44" s="46" t="str">
        <x:v>Enter planned duration in minutes.</x:v>
      </x:c>
      <x:c r="H44" s="46" t="str">
        <x:v>Open</x:v>
      </x:c>
    </x:row>
    <x:row r="45">
      <x:c r="A45" s="46" t="str">
        <x:v>ISS-00042</x:v>
      </x:c>
      <x:c r="B45" s="46" t="str">
        <x:v>High</x:v>
      </x:c>
      <x:c r="C45" s="46" t="str">
        <x:v>Maintenance Plan</x:v>
      </x:c>
      <x:c r="D45" s="46" t="str">
        <x:v>PM-00264</x:v>
      </x:c>
      <x:c r="E45" s="46" t="str">
        <x:v>Missing planned duration</x:v>
      </x:c>
      <x:c r="F45" s="46" t="str">
        <x:v>Source duration is blank or could not be converted. Source row 266.</x:v>
      </x:c>
      <x:c r="G45" s="46" t="str">
        <x:v>Enter planned duration in minutes.</x:v>
      </x:c>
      <x:c r="H45" s="46" t="str">
        <x:v>Open</x:v>
      </x:c>
    </x:row>
    <x:row r="46">
      <x:c r="A46" s="46" t="str">
        <x:v>ISS-00043</x:v>
      </x:c>
      <x:c r="B46" s="46" t="str">
        <x:v>High</x:v>
      </x:c>
      <x:c r="C46" s="46" t="str">
        <x:v>Maintenance Plan</x:v>
      </x:c>
      <x:c r="D46" s="46" t="str">
        <x:v>PM-00265</x:v>
      </x:c>
      <x:c r="E46" s="46" t="str">
        <x:v>Missing planned duration</x:v>
      </x:c>
      <x:c r="F46" s="46" t="str">
        <x:v>Source duration is blank or could not be converted. Source row 267.</x:v>
      </x:c>
      <x:c r="G46" s="46" t="str">
        <x:v>Enter planned duration in minutes.</x:v>
      </x:c>
      <x:c r="H46" s="46" t="str">
        <x:v>Open</x:v>
      </x:c>
    </x:row>
    <x:row r="47">
      <x:c r="A47" s="46" t="str">
        <x:v>ISS-00044</x:v>
      </x:c>
      <x:c r="B47" s="46" t="str">
        <x:v>High</x:v>
      </x:c>
      <x:c r="C47" s="46" t="str">
        <x:v>Maintenance Plan</x:v>
      </x:c>
      <x:c r="D47" s="46" t="str">
        <x:v>PM-00266</x:v>
      </x:c>
      <x:c r="E47" s="46" t="str">
        <x:v>Missing planned duration</x:v>
      </x:c>
      <x:c r="F47" s="46" t="str">
        <x:v>Source duration is blank or could not be converted. Source row 268.</x:v>
      </x:c>
      <x:c r="G47" s="46" t="str">
        <x:v>Enter planned duration in minutes.</x:v>
      </x:c>
      <x:c r="H47" s="46" t="str">
        <x:v>Open</x:v>
      </x:c>
    </x:row>
    <x:row r="48">
      <x:c r="A48" s="46" t="str">
        <x:v>ISS-00045</x:v>
      </x:c>
      <x:c r="B48" s="46" t="str">
        <x:v>Medium</x:v>
      </x:c>
      <x:c r="C48" s="46" t="str">
        <x:v>Maintenance Plan</x:v>
      </x:c>
      <x:c r="D48" s="46" t="str">
        <x:v>PM-00229, PM-00233</x:v>
      </x:c>
      <x:c r="E48" s="46" t="str">
        <x:v>Potential exact duplicate</x:v>
      </x:c>
      <x:c r="F48" s="46" t="str">
        <x:v>Same department, asset, task, frequency and responsible type appear in source rows [231, 235].</x:v>
      </x:c>
      <x:c r="G48" s="46" t="str">
        <x:v>Confirm whether both records are required or remove one.</x:v>
      </x:c>
      <x:c r="H48" s="46" t="str">
        <x:v>Open</x:v>
      </x:c>
    </x:row>
    <x:row r="49">
      <x:c r="A49" s="46" t="str">
        <x:v>ISS-00046</x:v>
      </x:c>
      <x:c r="B49" s="46" t="str">
        <x:v>Low</x:v>
      </x:c>
      <x:c r="C49" s="46" t="str">
        <x:v>Asset</x:v>
      </x:c>
      <x:c r="D49" s="46" t="str">
        <x:v>AST-0001</x:v>
      </x:c>
      <x:c r="E49" s="46" t="str">
        <x:v>Asset identity data incomplete</x:v>
      </x:c>
      <x:c r="F49" s="46" t="str">
        <x:v>Manufacturer, model, serial number and installation date are not available in the source workbook.</x:v>
      </x:c>
      <x:c r="G49" s="46" t="str">
        <x:v>Complete during asset verification / plant walkdown.</x:v>
      </x:c>
      <x:c r="H49" s="46" t="str">
        <x:v>Open</x:v>
      </x:c>
    </x:row>
    <x:row r="50">
      <x:c r="A50" s="46" t="str">
        <x:v>ISS-00047</x:v>
      </x:c>
      <x:c r="B50" s="46" t="str">
        <x:v>Low</x:v>
      </x:c>
      <x:c r="C50" s="46" t="str">
        <x:v>Asset</x:v>
      </x:c>
      <x:c r="D50" s="46" t="str">
        <x:v>AST-0002</x:v>
      </x:c>
      <x:c r="E50" s="46" t="str">
        <x:v>Asset identity data incomplete</x:v>
      </x:c>
      <x:c r="F50" s="46" t="str">
        <x:v>Manufacturer, model, serial number and installation date are not available in the source workbook.</x:v>
      </x:c>
      <x:c r="G50" s="46" t="str">
        <x:v>Complete during asset verification / plant walkdown.</x:v>
      </x:c>
      <x:c r="H50" s="46" t="str">
        <x:v>Open</x:v>
      </x:c>
    </x:row>
    <x:row r="51">
      <x:c r="A51" s="46" t="str">
        <x:v>ISS-00048</x:v>
      </x:c>
      <x:c r="B51" s="46" t="str">
        <x:v>Low</x:v>
      </x:c>
      <x:c r="C51" s="46" t="str">
        <x:v>Asset</x:v>
      </x:c>
      <x:c r="D51" s="46" t="str">
        <x:v>AST-0003</x:v>
      </x:c>
      <x:c r="E51" s="46" t="str">
        <x:v>Asset identity data incomplete</x:v>
      </x:c>
      <x:c r="F51" s="46" t="str">
        <x:v>Manufacturer, model, serial number and installation date are not available in the source workbook.</x:v>
      </x:c>
      <x:c r="G51" s="46" t="str">
        <x:v>Complete during asset verification / plant walkdown.</x:v>
      </x:c>
      <x:c r="H51" s="46" t="str">
        <x:v>Open</x:v>
      </x:c>
    </x:row>
    <x:row r="52">
      <x:c r="A52" s="46" t="str">
        <x:v>ISS-00049</x:v>
      </x:c>
      <x:c r="B52" s="46" t="str">
        <x:v>Low</x:v>
      </x:c>
      <x:c r="C52" s="46" t="str">
        <x:v>Asset</x:v>
      </x:c>
      <x:c r="D52" s="46" t="str">
        <x:v>AST-0004</x:v>
      </x:c>
      <x:c r="E52" s="46" t="str">
        <x:v>Asset identity data incomplete</x:v>
      </x:c>
      <x:c r="F52" s="46" t="str">
        <x:v>Manufacturer, model, serial number and installation date are not available in the source workbook.</x:v>
      </x:c>
      <x:c r="G52" s="46" t="str">
        <x:v>Complete during asset verification / plant walkdown.</x:v>
      </x:c>
      <x:c r="H52" s="46" t="str">
        <x:v>Open</x:v>
      </x:c>
    </x:row>
    <x:row r="53">
      <x:c r="A53" s="46" t="str">
        <x:v>ISS-00050</x:v>
      </x:c>
      <x:c r="B53" s="46" t="str">
        <x:v>Low</x:v>
      </x:c>
      <x:c r="C53" s="46" t="str">
        <x:v>Asset</x:v>
      </x:c>
      <x:c r="D53" s="46" t="str">
        <x:v>AST-0005</x:v>
      </x:c>
      <x:c r="E53" s="46" t="str">
        <x:v>Asset identity data incomplete</x:v>
      </x:c>
      <x:c r="F53" s="46" t="str">
        <x:v>Manufacturer, model, serial number and installation date are not available in the source workbook.</x:v>
      </x:c>
      <x:c r="G53" s="46" t="str">
        <x:v>Complete during asset verification / plant walkdown.</x:v>
      </x:c>
      <x:c r="H53" s="46" t="str">
        <x:v>Open</x:v>
      </x:c>
    </x:row>
    <x:row r="54">
      <x:c r="A54" s="46" t="str">
        <x:v>ISS-00051</x:v>
      </x:c>
      <x:c r="B54" s="46" t="str">
        <x:v>Low</x:v>
      </x:c>
      <x:c r="C54" s="46" t="str">
        <x:v>Asset</x:v>
      </x:c>
      <x:c r="D54" s="46" t="str">
        <x:v>AST-0006</x:v>
      </x:c>
      <x:c r="E54" s="46" t="str">
        <x:v>Asset identity data incomplete</x:v>
      </x:c>
      <x:c r="F54" s="46" t="str">
        <x:v>Manufacturer, model, serial number and installation date are not available in the source workbook.</x:v>
      </x:c>
      <x:c r="G54" s="46" t="str">
        <x:v>Complete during asset verification / plant walkdown.</x:v>
      </x:c>
      <x:c r="H54" s="46" t="str">
        <x:v>Open</x:v>
      </x:c>
    </x:row>
    <x:row r="55">
      <x:c r="A55" s="46" t="str">
        <x:v>ISS-00052</x:v>
      </x:c>
      <x:c r="B55" s="46" t="str">
        <x:v>Low</x:v>
      </x:c>
      <x:c r="C55" s="46" t="str">
        <x:v>Asset</x:v>
      </x:c>
      <x:c r="D55" s="46" t="str">
        <x:v>AST-0007</x:v>
      </x:c>
      <x:c r="E55" s="46" t="str">
        <x:v>Asset identity data incomplete</x:v>
      </x:c>
      <x:c r="F55" s="46" t="str">
        <x:v>Manufacturer, model, serial number and installation date are not available in the source workbook.</x:v>
      </x:c>
      <x:c r="G55" s="46" t="str">
        <x:v>Complete during asset verification / plant walkdown.</x:v>
      </x:c>
      <x:c r="H55" s="46" t="str">
        <x:v>Open</x:v>
      </x:c>
    </x:row>
    <x:row r="56">
      <x:c r="A56" s="46" t="str">
        <x:v>ISS-00053</x:v>
      </x:c>
      <x:c r="B56" s="46" t="str">
        <x:v>Low</x:v>
      </x:c>
      <x:c r="C56" s="46" t="str">
        <x:v>Asset</x:v>
      </x:c>
      <x:c r="D56" s="46" t="str">
        <x:v>AST-0008</x:v>
      </x:c>
      <x:c r="E56" s="46" t="str">
        <x:v>Asset identity data incomplete</x:v>
      </x:c>
      <x:c r="F56" s="46" t="str">
        <x:v>Manufacturer, model, serial number and installation date are not available in the source workbook.</x:v>
      </x:c>
      <x:c r="G56" s="46" t="str">
        <x:v>Complete during asset verification / plant walkdown.</x:v>
      </x:c>
      <x:c r="H56" s="46" t="str">
        <x:v>Open</x:v>
      </x:c>
    </x:row>
    <x:row r="57">
      <x:c r="A57" s="46" t="str">
        <x:v>ISS-00054</x:v>
      </x:c>
      <x:c r="B57" s="46" t="str">
        <x:v>Low</x:v>
      </x:c>
      <x:c r="C57" s="46" t="str">
        <x:v>Asset</x:v>
      </x:c>
      <x:c r="D57" s="46" t="str">
        <x:v>AST-0009</x:v>
      </x:c>
      <x:c r="E57" s="46" t="str">
        <x:v>Asset identity data incomplete</x:v>
      </x:c>
      <x:c r="F57" s="46" t="str">
        <x:v>Manufacturer, model, serial number and installation date are not available in the source workbook.</x:v>
      </x:c>
      <x:c r="G57" s="46" t="str">
        <x:v>Complete during asset verification / plant walkdown.</x:v>
      </x:c>
      <x:c r="H57" s="46" t="str">
        <x:v>Open</x:v>
      </x:c>
    </x:row>
    <x:row r="58">
      <x:c r="A58" s="46" t="str">
        <x:v>ISS-00055</x:v>
      </x:c>
      <x:c r="B58" s="46" t="str">
        <x:v>Low</x:v>
      </x:c>
      <x:c r="C58" s="46" t="str">
        <x:v>Asset</x:v>
      </x:c>
      <x:c r="D58" s="46" t="str">
        <x:v>AST-0010</x:v>
      </x:c>
      <x:c r="E58" s="46" t="str">
        <x:v>Asset identity data incomplete</x:v>
      </x:c>
      <x:c r="F58" s="46" t="str">
        <x:v>Manufacturer, model, serial number and installation date are not available in the source workbook.</x:v>
      </x:c>
      <x:c r="G58" s="46" t="str">
        <x:v>Complete during asset verification / plant walkdown.</x:v>
      </x:c>
      <x:c r="H58" s="46" t="str">
        <x:v>Open</x:v>
      </x:c>
    </x:row>
    <x:row r="59">
      <x:c r="A59" s="46" t="str">
        <x:v>ISS-00056</x:v>
      </x:c>
      <x:c r="B59" s="46" t="str">
        <x:v>Low</x:v>
      </x:c>
      <x:c r="C59" s="46" t="str">
        <x:v>Asset</x:v>
      </x:c>
      <x:c r="D59" s="46" t="str">
        <x:v>AST-0011</x:v>
      </x:c>
      <x:c r="E59" s="46" t="str">
        <x:v>Asset identity data incomplete</x:v>
      </x:c>
      <x:c r="F59" s="46" t="str">
        <x:v>Manufacturer, model, serial number and installation date are not available in the source workbook.</x:v>
      </x:c>
      <x:c r="G59" s="46" t="str">
        <x:v>Complete during asset verification / plant walkdown.</x:v>
      </x:c>
      <x:c r="H59" s="46" t="str">
        <x:v>Open</x:v>
      </x:c>
    </x:row>
    <x:row r="60">
      <x:c r="A60" s="46" t="str">
        <x:v>ISS-00057</x:v>
      </x:c>
      <x:c r="B60" s="46" t="str">
        <x:v>Low</x:v>
      </x:c>
      <x:c r="C60" s="46" t="str">
        <x:v>Asset</x:v>
      </x:c>
      <x:c r="D60" s="46" t="str">
        <x:v>AST-0012</x:v>
      </x:c>
      <x:c r="E60" s="46" t="str">
        <x:v>Asset identity data incomplete</x:v>
      </x:c>
      <x:c r="F60" s="46" t="str">
        <x:v>Manufacturer, model, serial number and installation date are not available in the source workbook.</x:v>
      </x:c>
      <x:c r="G60" s="46" t="str">
        <x:v>Complete during asset verification / plant walkdown.</x:v>
      </x:c>
      <x:c r="H60" s="46" t="str">
        <x:v>Open</x:v>
      </x:c>
    </x:row>
    <x:row r="61">
      <x:c r="A61" s="46" t="str">
        <x:v>ISS-00058</x:v>
      </x:c>
      <x:c r="B61" s="46" t="str">
        <x:v>Low</x:v>
      </x:c>
      <x:c r="C61" s="46" t="str">
        <x:v>Asset</x:v>
      </x:c>
      <x:c r="D61" s="46" t="str">
        <x:v>AST-0013</x:v>
      </x:c>
      <x:c r="E61" s="46" t="str">
        <x:v>Asset identity data incomplete</x:v>
      </x:c>
      <x:c r="F61" s="46" t="str">
        <x:v>Manufacturer, model, serial number and installation date are not available in the source workbook.</x:v>
      </x:c>
      <x:c r="G61" s="46" t="str">
        <x:v>Complete during asset verification / plant walkdown.</x:v>
      </x:c>
      <x:c r="H61" s="46" t="str">
        <x:v>Open</x:v>
      </x:c>
    </x:row>
    <x:row r="62">
      <x:c r="A62" s="46" t="str">
        <x:v>ISS-00059</x:v>
      </x:c>
      <x:c r="B62" s="46" t="str">
        <x:v>Low</x:v>
      </x:c>
      <x:c r="C62" s="46" t="str">
        <x:v>Asset</x:v>
      </x:c>
      <x:c r="D62" s="46" t="str">
        <x:v>AST-0014</x:v>
      </x:c>
      <x:c r="E62" s="46" t="str">
        <x:v>Asset identity data incomplete</x:v>
      </x:c>
      <x:c r="F62" s="46" t="str">
        <x:v>Manufacturer, model, serial number and installation date are not available in the source workbook.</x:v>
      </x:c>
      <x:c r="G62" s="46" t="str">
        <x:v>Complete during asset verification / plant walkdown.</x:v>
      </x:c>
      <x:c r="H62" s="46" t="str">
        <x:v>Open</x:v>
      </x:c>
    </x:row>
    <x:row r="63">
      <x:c r="A63" s="46" t="str">
        <x:v>ISS-00060</x:v>
      </x:c>
      <x:c r="B63" s="46" t="str">
        <x:v>Low</x:v>
      </x:c>
      <x:c r="C63" s="46" t="str">
        <x:v>Asset</x:v>
      </x:c>
      <x:c r="D63" s="46" t="str">
        <x:v>AST-0015</x:v>
      </x:c>
      <x:c r="E63" s="46" t="str">
        <x:v>Asset identity data incomplete</x:v>
      </x:c>
      <x:c r="F63" s="46" t="str">
        <x:v>Manufacturer, model, serial number and installation date are not available in the source workbook.</x:v>
      </x:c>
      <x:c r="G63" s="46" t="str">
        <x:v>Complete during asset verification / plant walkdown.</x:v>
      </x:c>
      <x:c r="H63" s="46" t="str">
        <x:v>Open</x:v>
      </x:c>
    </x:row>
    <x:row r="64">
      <x:c r="A64" s="46" t="str">
        <x:v>ISS-00061</x:v>
      </x:c>
      <x:c r="B64" s="46" t="str">
        <x:v>Low</x:v>
      </x:c>
      <x:c r="C64" s="46" t="str">
        <x:v>Asset</x:v>
      </x:c>
      <x:c r="D64" s="46" t="str">
        <x:v>AST-0016</x:v>
      </x:c>
      <x:c r="E64" s="46" t="str">
        <x:v>Asset identity data incomplete</x:v>
      </x:c>
      <x:c r="F64" s="46" t="str">
        <x:v>Manufacturer, model, serial number and installation date are not available in the source workbook.</x:v>
      </x:c>
      <x:c r="G64" s="46" t="str">
        <x:v>Complete during asset verification / plant walkdown.</x:v>
      </x:c>
      <x:c r="H64" s="46" t="str">
        <x:v>Open</x:v>
      </x:c>
    </x:row>
    <x:row r="65">
      <x:c r="A65" s="46" t="str">
        <x:v>ISS-00062</x:v>
      </x:c>
      <x:c r="B65" s="46" t="str">
        <x:v>Low</x:v>
      </x:c>
      <x:c r="C65" s="46" t="str">
        <x:v>Asset</x:v>
      </x:c>
      <x:c r="D65" s="46" t="str">
        <x:v>AST-0017</x:v>
      </x:c>
      <x:c r="E65" s="46" t="str">
        <x:v>Asset identity data incomplete</x:v>
      </x:c>
      <x:c r="F65" s="46" t="str">
        <x:v>Manufacturer, model, serial number and installation date are not available in the source workbook.</x:v>
      </x:c>
      <x:c r="G65" s="46" t="str">
        <x:v>Complete during asset verification / plant walkdown.</x:v>
      </x:c>
      <x:c r="H65" s="46" t="str">
        <x:v>Open</x:v>
      </x:c>
    </x:row>
    <x:row r="66">
      <x:c r="A66" s="46" t="str">
        <x:v>ISS-00063</x:v>
      </x:c>
      <x:c r="B66" s="46" t="str">
        <x:v>Low</x:v>
      </x:c>
      <x:c r="C66" s="46" t="str">
        <x:v>Asset</x:v>
      </x:c>
      <x:c r="D66" s="46" t="str">
        <x:v>AST-0018</x:v>
      </x:c>
      <x:c r="E66" s="46" t="str">
        <x:v>Asset identity data incomplete</x:v>
      </x:c>
      <x:c r="F66" s="46" t="str">
        <x:v>Manufacturer, model, serial number and installation date are not available in the source workbook.</x:v>
      </x:c>
      <x:c r="G66" s="46" t="str">
        <x:v>Complete during asset verification / plant walkdown.</x:v>
      </x:c>
      <x:c r="H66" s="46" t="str">
        <x:v>Open</x:v>
      </x:c>
    </x:row>
    <x:row r="67">
      <x:c r="A67" s="46" t="str">
        <x:v>ISS-00064</x:v>
      </x:c>
      <x:c r="B67" s="46" t="str">
        <x:v>Low</x:v>
      </x:c>
      <x:c r="C67" s="46" t="str">
        <x:v>Asset</x:v>
      </x:c>
      <x:c r="D67" s="46" t="str">
        <x:v>AST-0019</x:v>
      </x:c>
      <x:c r="E67" s="46" t="str">
        <x:v>Asset identity data incomplete</x:v>
      </x:c>
      <x:c r="F67" s="46" t="str">
        <x:v>Manufacturer, model, serial number and installation date are not available in the source workbook.</x:v>
      </x:c>
      <x:c r="G67" s="46" t="str">
        <x:v>Complete during asset verification / plant walkdown.</x:v>
      </x:c>
      <x:c r="H67" s="46" t="str">
        <x:v>Open</x:v>
      </x:c>
    </x:row>
    <x:row r="68">
      <x:c r="A68" s="46" t="str">
        <x:v>ISS-00065</x:v>
      </x:c>
      <x:c r="B68" s="46" t="str">
        <x:v>Low</x:v>
      </x:c>
      <x:c r="C68" s="46" t="str">
        <x:v>Asset</x:v>
      </x:c>
      <x:c r="D68" s="46" t="str">
        <x:v>AST-0020</x:v>
      </x:c>
      <x:c r="E68" s="46" t="str">
        <x:v>Asset identity data incomplete</x:v>
      </x:c>
      <x:c r="F68" s="46" t="str">
        <x:v>Manufacturer, model, serial number and installation date are not available in the source workbook.</x:v>
      </x:c>
      <x:c r="G68" s="46" t="str">
        <x:v>Complete during asset verification / plant walkdown.</x:v>
      </x:c>
      <x:c r="H68" s="46" t="str">
        <x:v>Open</x:v>
      </x:c>
    </x:row>
    <x:row r="69">
      <x:c r="A69" s="46" t="str">
        <x:v>ISS-00066</x:v>
      </x:c>
      <x:c r="B69" s="46" t="str">
        <x:v>Low</x:v>
      </x:c>
      <x:c r="C69" s="46" t="str">
        <x:v>Asset</x:v>
      </x:c>
      <x:c r="D69" s="46" t="str">
        <x:v>AST-0021</x:v>
      </x:c>
      <x:c r="E69" s="46" t="str">
        <x:v>Asset identity data incomplete</x:v>
      </x:c>
      <x:c r="F69" s="46" t="str">
        <x:v>Manufacturer, model, serial number and installation date are not available in the source workbook.</x:v>
      </x:c>
      <x:c r="G69" s="46" t="str">
        <x:v>Complete during asset verification / plant walkdown.</x:v>
      </x:c>
      <x:c r="H69" s="46" t="str">
        <x:v>Open</x:v>
      </x:c>
    </x:row>
    <x:row r="70">
      <x:c r="A70" s="46" t="str">
        <x:v>ISS-00067</x:v>
      </x:c>
      <x:c r="B70" s="46" t="str">
        <x:v>Low</x:v>
      </x:c>
      <x:c r="C70" s="46" t="str">
        <x:v>Asset</x:v>
      </x:c>
      <x:c r="D70" s="46" t="str">
        <x:v>AST-0022</x:v>
      </x:c>
      <x:c r="E70" s="46" t="str">
        <x:v>Asset identity data incomplete</x:v>
      </x:c>
      <x:c r="F70" s="46" t="str">
        <x:v>Manufacturer, model, serial number and installation date are not available in the source workbook.</x:v>
      </x:c>
      <x:c r="G70" s="46" t="str">
        <x:v>Complete during asset verification / plant walkdown.</x:v>
      </x:c>
      <x:c r="H70" s="46" t="str">
        <x:v>Open</x:v>
      </x:c>
    </x:row>
    <x:row r="71">
      <x:c r="A71" s="46" t="str">
        <x:v>ISS-00068</x:v>
      </x:c>
      <x:c r="B71" s="46" t="str">
        <x:v>Low</x:v>
      </x:c>
      <x:c r="C71" s="46" t="str">
        <x:v>Asset</x:v>
      </x:c>
      <x:c r="D71" s="46" t="str">
        <x:v>AST-0023</x:v>
      </x:c>
      <x:c r="E71" s="46" t="str">
        <x:v>Asset identity data incomplete</x:v>
      </x:c>
      <x:c r="F71" s="46" t="str">
        <x:v>Manufacturer, model, serial number and installation date are not available in the source workbook.</x:v>
      </x:c>
      <x:c r="G71" s="46" t="str">
        <x:v>Complete during asset verification / plant walkdown.</x:v>
      </x:c>
      <x:c r="H71" s="46" t="str">
        <x:v>Open</x:v>
      </x:c>
    </x:row>
    <x:row r="72">
      <x:c r="A72" s="46" t="str">
        <x:v>ISS-00069</x:v>
      </x:c>
      <x:c r="B72" s="46" t="str">
        <x:v>Low</x:v>
      </x:c>
      <x:c r="C72" s="46" t="str">
        <x:v>Asset</x:v>
      </x:c>
      <x:c r="D72" s="46" t="str">
        <x:v>AST-0024</x:v>
      </x:c>
      <x:c r="E72" s="46" t="str">
        <x:v>Asset identity data incomplete</x:v>
      </x:c>
      <x:c r="F72" s="46" t="str">
        <x:v>Manufacturer, model, serial number and installation date are not available in the source workbook.</x:v>
      </x:c>
      <x:c r="G72" s="46" t="str">
        <x:v>Complete during asset verification / plant walkdown.</x:v>
      </x:c>
      <x:c r="H72" s="46" t="str">
        <x:v>Open</x:v>
      </x:c>
    </x:row>
    <x:row r="73">
      <x:c r="A73" s="46" t="str">
        <x:v>ISS-00070</x:v>
      </x:c>
      <x:c r="B73" s="46" t="str">
        <x:v>Low</x:v>
      </x:c>
      <x:c r="C73" s="46" t="str">
        <x:v>Asset</x:v>
      </x:c>
      <x:c r="D73" s="46" t="str">
        <x:v>AST-0025</x:v>
      </x:c>
      <x:c r="E73" s="46" t="str">
        <x:v>Asset identity data incomplete</x:v>
      </x:c>
      <x:c r="F73" s="46" t="str">
        <x:v>Manufacturer, model, serial number and installation date are not available in the source workbook.</x:v>
      </x:c>
      <x:c r="G73" s="46" t="str">
        <x:v>Complete during asset verification / plant walkdown.</x:v>
      </x:c>
      <x:c r="H73" s="46" t="str">
        <x:v>Open</x:v>
      </x:c>
    </x:row>
    <x:row r="74">
      <x:c r="A74" s="46" t="str">
        <x:v>ISS-00071</x:v>
      </x:c>
      <x:c r="B74" s="46" t="str">
        <x:v>Low</x:v>
      </x:c>
      <x:c r="C74" s="46" t="str">
        <x:v>Asset</x:v>
      </x:c>
      <x:c r="D74" s="46" t="str">
        <x:v>AST-0026</x:v>
      </x:c>
      <x:c r="E74" s="46" t="str">
        <x:v>Asset identity data incomplete</x:v>
      </x:c>
      <x:c r="F74" s="46" t="str">
        <x:v>Manufacturer, model, serial number and installation date are not available in the source workbook.</x:v>
      </x:c>
      <x:c r="G74" s="46" t="str">
        <x:v>Complete during asset verification / plant walkdown.</x:v>
      </x:c>
      <x:c r="H74" s="46" t="str">
        <x:v>Open</x:v>
      </x:c>
    </x:row>
    <x:row r="75">
      <x:c r="A75" s="46" t="str">
        <x:v>ISS-00072</x:v>
      </x:c>
      <x:c r="B75" s="46" t="str">
        <x:v>Low</x:v>
      </x:c>
      <x:c r="C75" s="46" t="str">
        <x:v>Asset</x:v>
      </x:c>
      <x:c r="D75" s="46" t="str">
        <x:v>AST-0027</x:v>
      </x:c>
      <x:c r="E75" s="46" t="str">
        <x:v>Asset identity data incomplete</x:v>
      </x:c>
      <x:c r="F75" s="46" t="str">
        <x:v>Manufacturer, model, serial number and installation date are not available in the source workbook.</x:v>
      </x:c>
      <x:c r="G75" s="46" t="str">
        <x:v>Complete during asset verification / plant walkdown.</x:v>
      </x:c>
      <x:c r="H75" s="46" t="str">
        <x:v>Open</x:v>
      </x:c>
    </x:row>
    <x:row r="76">
      <x:c r="A76" s="46" t="str">
        <x:v>ISS-00073</x:v>
      </x:c>
      <x:c r="B76" s="46" t="str">
        <x:v>Low</x:v>
      </x:c>
      <x:c r="C76" s="46" t="str">
        <x:v>Asset</x:v>
      </x:c>
      <x:c r="D76" s="46" t="str">
        <x:v>AST-0028</x:v>
      </x:c>
      <x:c r="E76" s="46" t="str">
        <x:v>Asset identity data incomplete</x:v>
      </x:c>
      <x:c r="F76" s="46" t="str">
        <x:v>Manufacturer, model, serial number and installation date are not available in the source workbook.</x:v>
      </x:c>
      <x:c r="G76" s="46" t="str">
        <x:v>Complete during asset verification / plant walkdown.</x:v>
      </x:c>
      <x:c r="H76" s="46" t="str">
        <x:v>Open</x:v>
      </x:c>
    </x:row>
    <x:row r="77">
      <x:c r="A77" s="46" t="str">
        <x:v>ISS-00074</x:v>
      </x:c>
      <x:c r="B77" s="46" t="str">
        <x:v>Low</x:v>
      </x:c>
      <x:c r="C77" s="46" t="str">
        <x:v>Asset</x:v>
      </x:c>
      <x:c r="D77" s="46" t="str">
        <x:v>AST-0029</x:v>
      </x:c>
      <x:c r="E77" s="46" t="str">
        <x:v>Asset identity data incomplete</x:v>
      </x:c>
      <x:c r="F77" s="46" t="str">
        <x:v>Manufacturer, model, serial number and installation date are not available in the source workbook.</x:v>
      </x:c>
      <x:c r="G77" s="46" t="str">
        <x:v>Complete during asset verification / plant walkdown.</x:v>
      </x:c>
      <x:c r="H77" s="46" t="str">
        <x:v>Open</x:v>
      </x:c>
    </x:row>
    <x:row r="78">
      <x:c r="A78" s="46" t="str">
        <x:v>ISS-00075</x:v>
      </x:c>
      <x:c r="B78" s="46" t="str">
        <x:v>Low</x:v>
      </x:c>
      <x:c r="C78" s="46" t="str">
        <x:v>Asset</x:v>
      </x:c>
      <x:c r="D78" s="46" t="str">
        <x:v>AST-0030</x:v>
      </x:c>
      <x:c r="E78" s="46" t="str">
        <x:v>Asset identity data incomplete</x:v>
      </x:c>
      <x:c r="F78" s="46" t="str">
        <x:v>Manufacturer, model, serial number and installation date are not available in the source workbook.</x:v>
      </x:c>
      <x:c r="G78" s="46" t="str">
        <x:v>Complete during asset verification / plant walkdown.</x:v>
      </x:c>
      <x:c r="H78" s="46" t="str">
        <x:v>Open</x:v>
      </x:c>
    </x:row>
    <x:row r="79">
      <x:c r="A79" s="46" t="str">
        <x:v>ISS-00076</x:v>
      </x:c>
      <x:c r="B79" s="46" t="str">
        <x:v>Low</x:v>
      </x:c>
      <x:c r="C79" s="46" t="str">
        <x:v>Asset</x:v>
      </x:c>
      <x:c r="D79" s="46" t="str">
        <x:v>AST-0031</x:v>
      </x:c>
      <x:c r="E79" s="46" t="str">
        <x:v>Asset identity data incomplete</x:v>
      </x:c>
      <x:c r="F79" s="46" t="str">
        <x:v>Manufacturer, model, serial number and installation date are not available in the source workbook.</x:v>
      </x:c>
      <x:c r="G79" s="46" t="str">
        <x:v>Complete during asset verification / plant walkdown.</x:v>
      </x:c>
      <x:c r="H79" s="46" t="str">
        <x:v>Open</x:v>
      </x:c>
    </x:row>
    <x:row r="80">
      <x:c r="A80" s="46" t="str">
        <x:v>ISS-00077</x:v>
      </x:c>
      <x:c r="B80" s="46" t="str">
        <x:v>High</x:v>
      </x:c>
      <x:c r="C80" s="46" t="str">
        <x:v>All Plans</x:v>
      </x:c>
      <x:c r="D80" s="46" t="str">
        <x:v>ALL</x:v>
      </x:c>
      <x:c r="E80" s="46" t="str">
        <x:v>First due date not defined</x:v>
      </x:c>
      <x:c r="F80" s="46" t="str">
        <x:v>The source workbook indicates frequency/month placement but does not provide an approved first due date for each plan.</x:v>
      </x:c>
      <x:c r="G80" s="46" t="str">
        <x:v>Define anchor dates before automatic work-order generation.</x:v>
      </x:c>
      <x:c r="H80" s="46" t="str">
        <x:v>Open</x:v>
      </x:c>
    </x:row>
    <x:row r="81">
      <x:c r="A81" s="46" t="str">
        <x:v>ISS-00078</x:v>
      </x:c>
      <x:c r="B81" s="46" t="str">
        <x:v>Medium</x:v>
      </x:c>
      <x:c r="C81" s="46" t="str">
        <x:v>All Plans</x:v>
      </x:c>
      <x:c r="D81" s="46" t="str">
        <x:v>ALL</x:v>
      </x:c>
      <x:c r="E81" s="46" t="str">
        <x:v>Shutdown requirement not defined</x:v>
      </x:c>
      <x:c r="F81" s="46" t="str">
        <x:v>The source workbook does not state whether the asset must be stopped for each task.</x:v>
      </x:c>
      <x:c r="G81" s="46" t="str">
        <x:v>Review with maintenance and production.</x:v>
      </x:c>
      <x:c r="H81" s="46" t="str">
        <x:v>Open</x:v>
      </x:c>
    </x:row>
    <x:row r="82">
      <x:c r="A82" s="46" t="str">
        <x:v>ISS-00079</x:v>
      </x:c>
      <x:c r="B82" s="46" t="str">
        <x:v>Medium</x:v>
      </x:c>
      <x:c r="C82" s="46" t="str">
        <x:v>All Plans</x:v>
      </x:c>
      <x:c r="D82" s="46" t="str">
        <x:v>ALL</x:v>
      </x:c>
      <x:c r="E82" s="46" t="str">
        <x:v>Criticality not defined</x:v>
      </x:c>
      <x:c r="F82" s="46" t="str">
        <x:v>Plan and asset criticality are currently defaulted to medium.</x:v>
      </x:c>
      <x:c r="G82" s="46" t="str">
        <x:v>Approve criticality criteria and update critical assets.</x:v>
      </x:c>
      <x:c r="H82" s="46" t="str">
        <x:v>Open</x:v>
      </x:c>
    </x:row>
  </x:sheetData>
  <x:mergeCells>
    <x:mergeCell ref="A1:H1"/>
  </x:mergeCells>
  <x:conditionalFormatting sqref="B4:B82">
    <x:cfRule type="expression" dxfId="1" priority="1">
      <x:formula>B4="Critical"</x:formula>
    </x:cfRule>
    <x:cfRule type="expression" dxfId="2" priority="2">
      <x:formula>B4="High"</x:formula>
    </x:cfRule>
    <x:cfRule type="expression" dxfId="3" priority="3">
      <x:formula>B4="Medium"</x:formula>
    </x:cfRule>
    <x:cfRule type="expression" dxfId="4" priority="4">
      <x:formula>B4="Low"</x:formula>
    </x:cfRule>
  </x:conditionalFormatting>
  <x:dataValidations count="2">
    <x:dataValidation type="list" sqref="B4:B82">
      <x:formula1>"Low,Medium,High,Critical"</x:formula1>
    </x:dataValidation>
    <x:dataValidation type="list" sqref="H4:H82">
      <x:formula1>"Open,Resolved,Accepted Risk,Not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80acd1054c48c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21" t="str">
        <x:v>Responsible Type</x:v>
      </x:c>
      <x:c r="B1" s="21" t="str">
        <x:v>Frequency Unit</x:v>
      </x:c>
      <x:c r="C1" s="21" t="str">
        <x:v>Criticality</x:v>
      </x:c>
      <x:c r="D1" s="21" t="str">
        <x:v>Asset Status</x:v>
      </x:c>
      <x:c r="E1" s="21" t="str">
        <x:v>Issue Severity</x:v>
      </x:c>
      <x:c r="F1" s="21" t="str">
        <x:v>Issue Status</x:v>
      </x:c>
      <x:c r="G1" s="21" t="str">
        <x:v>Node Type</x:v>
      </x:c>
      <x:c r="H1" s="21" t="str">
        <x:v>Target Type</x:v>
      </x:c>
    </x:row>
    <x:row r="2">
      <x:c r="A2" t="str">
        <x:v>maintenance</x:v>
      </x:c>
      <x:c r="B2" t="str">
        <x:v>day</x:v>
      </x:c>
      <x:c r="C2" t="str">
        <x:v>low</x:v>
      </x:c>
      <x:c r="D2" t="str">
        <x:v>running</x:v>
      </x:c>
      <x:c r="E2" t="str">
        <x:v>Low</x:v>
      </x:c>
      <x:c r="F2" t="str">
        <x:v>Open</x:v>
      </x:c>
      <x:c r="G2" t="str">
        <x:v>factory</x:v>
      </x:c>
      <x:c r="H2" t="str">
        <x:v>asset</x:v>
      </x:c>
    </x:row>
    <x:row r="3">
      <x:c r="A3" t="str">
        <x:v>operator_monitoring</x:v>
      </x:c>
      <x:c r="B3" t="str">
        <x:v>week</x:v>
      </x:c>
      <x:c r="C3" t="str">
        <x:v>medium</x:v>
      </x:c>
      <x:c r="D3" t="str">
        <x:v>stopped</x:v>
      </x:c>
      <x:c r="E3" t="str">
        <x:v>Medium</x:v>
      </x:c>
      <x:c r="F3" t="str">
        <x:v>Resolved</x:v>
      </x:c>
      <x:c r="G3" t="str">
        <x:v>department</x:v>
      </x:c>
      <x:c r="H3" t="str">
        <x:v>location</x:v>
      </x:c>
    </x:row>
    <x:row r="4">
      <x:c r="A4" t="str"/>
      <x:c r="B4" t="str">
        <x:v>month</x:v>
      </x:c>
      <x:c r="C4" t="str">
        <x:v>high</x:v>
      </x:c>
      <x:c r="D4" t="str">
        <x:v>under_maintenance</x:v>
      </x:c>
      <x:c r="E4" t="str">
        <x:v>High</x:v>
      </x:c>
      <x:c r="F4" t="str">
        <x:v>Accepted Risk</x:v>
      </x:c>
      <x:c r="G4" t="str">
        <x:v>area_line</x:v>
      </x:c>
      <x:c r="H4" t="str"/>
    </x:row>
    <x:row r="5">
      <x:c r="A5" t="str"/>
      <x:c r="B5" t="str">
        <x:v>quarter</x:v>
      </x:c>
      <x:c r="C5" t="str">
        <x:v>critical</x:v>
      </x:c>
      <x:c r="D5" t="str">
        <x:v>inactive</x:v>
      </x:c>
      <x:c r="E5" t="str">
        <x:v>Critical</x:v>
      </x:c>
      <x:c r="F5" t="str">
        <x:v>Not Applicable</x:v>
      </x:c>
      <x:c r="G5" t="str"/>
      <x:c r="H5" t="str"/>
    </x:row>
    <x:row r="6">
      <x:c r="A6" t="str"/>
      <x:c r="B6" t="str">
        <x:v>half_year</x:v>
      </x:c>
      <x:c r="C6" t="str"/>
      <x:c r="D6" t="str">
        <x:v>decommissioned</x:v>
      </x:c>
      <x:c r="E6" t="str"/>
      <x:c r="F6" t="str"/>
      <x:c r="G6" t="str"/>
      <x:c r="H6" t="str"/>
    </x:row>
    <x:row r="7">
      <x:c r="A7" t="str"/>
      <x:c r="B7" t="str">
        <x:v>year</x:v>
      </x:c>
      <x:c r="C7" t="str"/>
      <x:c r="D7" t="str"/>
      <x:c r="E7" t="str"/>
      <x:c r="F7" t="str"/>
      <x:c r="G7" t="str"/>
      <x:c r="H7" t="str"/>
    </x:row>
    <x:row r="8">
      <x:c r="A8" t="str"/>
      <x:c r="B8" t="str">
        <x:v>meter</x:v>
      </x:c>
      <x:c r="C8" t="str"/>
      <x:c r="D8" t="str"/>
      <x:c r="E8" t="str"/>
      <x:c r="F8" t="str"/>
      <x:c r="G8" t="str"/>
      <x:c r="H8" t="str"/>
    </x:row>
    <x:row r="9">
      <x:c r="A9" t="str"/>
      <x:c r="B9" t="str">
        <x:v>custom</x:v>
      </x:c>
      <x:c r="C9" t="str"/>
      <x:c r="D9" t="str"/>
      <x:c r="E9" t="str"/>
      <x:c r="F9" t="str"/>
      <x:c r="G9" t="str"/>
      <x:c r="H9" t="str"/>
    </x:row>
  </x:sheetData>
  <x:pageMargins left="0.7" right="0.7" top="0.75" bottom="0.75" header="0.3" footer="0.3"/>
</x:worksheet>
</file>